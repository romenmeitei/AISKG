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deb9a71f9b458d" /></Relationships>
</file>

<file path=xl/workbook.xml><?xml version="1.0" encoding="utf-8"?>
<x:workbook xmlns:x="http://schemas.openxmlformats.org/spreadsheetml/2006/main">
  <x:sheets>
    <x:sheet xmlns:r="http://schemas.openxmlformats.org/officeDocument/2006/relationships" name="Pathways" sheetId="1" r:id="Rf6de1483c13e4c22"/>
    <x:sheet xmlns:r="http://schemas.openxmlformats.org/officeDocument/2006/relationships" name="Instructions" sheetId="2" r:id="R5aa96e6c66cd4036"/>
  </x:sheets>
</x:workbook>
</file>

<file path=xl/sharedStrings.xml><?xml version="1.0" encoding="utf-8"?>
<x:sst xmlns:x="http://schemas.openxmlformats.org/spreadsheetml/2006/main">
  <x:si>
    <x:t xml:space="preserve">validation_id</x:t>
  </x:si>
  <x:si>
    <x:t xml:space="preserve">path_text</x:t>
  </x:si>
  <x:si>
    <x:t xml:space="preserve">pathway_template</x:t>
  </x:si>
  <x:si>
    <x:t xml:space="preserve">relation_chain</x:t>
  </x:si>
  <x:si>
    <x:t xml:space="preserve">supporting_evidence</x:t>
  </x:si>
  <x:si>
    <x:t xml:space="preserve">entities_correct</x:t>
  </x:si>
  <x:si>
    <x:t xml:space="preserve">relations_correct</x:t>
  </x:si>
  <x:si>
    <x:t xml:space="preserve">direction_correct</x:t>
  </x:si>
  <x:si>
    <x:t xml:space="preserve">sequence_coherent</x:t>
  </x:si>
  <x:si>
    <x:t xml:space="preserve">terminal_class_correct</x:t>
  </x:si>
  <x:si>
    <x:t xml:space="preserve">all_edges_evidence_supported</x:t>
  </x:si>
  <x:si>
    <x:t xml:space="preserve">complete_pathway_correct</x:t>
  </x:si>
  <x:si>
    <x:t xml:space="preserve">error_category</x:t>
  </x:si>
  <x:si>
    <x:t xml:space="preserve">reviewer_comments</x:t>
  </x:si>
  <x:si>
    <x:t xml:space="preserve">XPV-0001</x:t>
  </x:si>
  <x:si>
    <x:t xml:space="preserve">Alpha-amanitin → Transcription inhibition → Death → Liver</x:t>
  </x:si>
  <x:si>
    <x:t xml:space="preserve">Toxin–Mechanism–Syndrome–Organ</x:t>
  </x:si>
  <x:si>
    <x:t xml:space="preserve">ACTS_THROUGH_MECHANISM | CONTRIBUTES_TO_SYNDROME/LEADS_TO_OUTCOME | INVOLVES_ORGAN</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</x:si>
  <x:si>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</x:si>
  <x:si>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No</x:t>
  </x:si>
  <x:si>
    <x:t xml:space="preserve">entity; relation; direction; sequence; terminal; evidence</x:t>
  </x:si>
  <x:si>
    <x:t xml:space="preserve">Death is a terminal outcome but is used before Liver. The displayed sentences only associate death with Liver-related findings and do not support Death —[INVOLVES_ORGAN]→ Liver; the direction, sequence, endpoint, and evidence therefore fail the protocol.</x:t>
  </x:si>
  <x:si>
    <x:t xml:space="preserve">XPV-0002</x:t>
  </x:si>
  <x:si>
    <x:t xml:space="preserve">Lepiota brunneoincarnata → Amatoxins → Apoptosis → Acute liver failure</x:t>
  </x:si>
  <x:si>
    <x:t xml:space="preserve">Species–Toxin–Mechanism–Syndrome</x:t>
  </x:si>
  <x:si>
    <x:t xml:space="preserve">CONTAINS_TOXIN | ACTS_THROUGH_MECHANISM | CONTRIBUTES_TO_SYNDROME</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</x:si>
  <x:si>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</x:si>
  <x:si>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Yes</x:t>
  </x:si>
  <x:si>
    <x:t xml:space="preserve">All entities, adjacent relations, directions, sequence, terminal class, and displayed evidence satisfy the supplied protocol.</x:t>
  </x:si>
  <x:si>
    <x:t xml:space="preserve">XPV-0003</x:t>
  </x:si>
  <x:si>
    <x:t xml:space="preserve">Amanita phalloides → Amatoxins → Death → Heart</x:t>
  </x:si>
  <x:si>
    <x:t xml:space="preserve">Species–Toxin–Syndrome–Organ</x:t>
  </x:si>
  <x:si>
    <x:t xml:space="preserve">CONTAINS_TOXIN | CAUSES_SYNDROME/LEADS_TO_OUTCOME | INVOLVES_ORGAN</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</x:si>
  <x:si>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</x:si>
  <x:si>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Death is a terminal outcome but is used before Heart. The displayed sentences only associate death with Heart-related findings and do not support Death —[INVOLVES_ORGAN]→ Heart; the direction, sequence, endpoint, and evidence therefore fail the protocol.</x:t>
  </x:si>
  <x:si>
    <x:t xml:space="preserve">XPV-0004</x:t>
  </x:si>
  <x:si>
    <x:t xml:space="preserve">Amanita phalloides → Alpha-amanitin → Death → Heart</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</x:si>
  <x:si>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</x:si>
  <x:si>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XPV-0005</x:t>
  </x:si>
  <x:si>
    <x:t xml:space="preserve">Alpha-amanitin → Apoptosis → Death → Liver</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</x:si>
  <x:si>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</x:si>
  <x:si>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XPV-0006</x:t>
  </x:si>
  <x:si>
    <x:t xml:space="preserve">Amanita phalloides → Phallotoxins → Death → Gastrointestinal tract</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</x:si>
  <x:si>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</x:si>
  <x:si>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Death is a terminal outcome but is used before Gastrointestinal tract. The displayed sentences only associate death with Gastrointestinal tract-related findings and do not support Death —[INVOLVES_ORGAN]→ Gastrointestinal tract; the direction, sequence, endpoint, and evidence therefore fail the protocol. In addition, the evidence does not isolate phallotoxins as the cause of death rather than co-occurring amatoxins.</x:t>
  </x:si>
  <x:si>
    <x:t xml:space="preserve">XPV-0007</x:t>
  </x:si>
  <x:si>
    <x:t xml:space="preserve">Lepiota brunneoincarnata → Amatoxins → Death → Heart</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</x:si>
  <x:si>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</x:si>
  <x:si>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XPV-0008</x:t>
  </x:si>
  <x:si>
    <x:t xml:space="preserve">Alpha-amanitin → Necrosis → Death</x:t>
  </x:si>
  <x:si>
    <x:t xml:space="preserve">Toxin–Mechanism–Outcome</x:t>
  </x:si>
  <x:si>
    <x:t xml:space="preserve">ACTS_THROUGH_MECHANISM | CONTRIBUTES_TO_SYNDROME/LEADS_TO_OUTCOME</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</x:si>
  <x:si>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</x:si>
  <x:si>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Borderline</x:t>
  </x:si>
  <x:si>
    <x:t xml:space="preserve">evidence</x:t>
  </x:si>
  <x:si>
    <x:t xml:space="preserve">The final mechanism-to-Death edge is biologically plausible, but the displayed sentences mainly report a common toxin exposure, cellular death, or co-occurring mechanism and organismal death; they do not fully establish the stated direct edge.</x:t>
  </x:si>
  <x:si>
    <x:t xml:space="preserve">XPV-0009</x:t>
  </x:si>
  <x:si>
    <x:t xml:space="preserve">N-acetylcysteine → Alpha-amanitin → Apoptosis → Hepatotoxicity</x:t>
  </x:si>
  <x:si>
    <x:t xml:space="preserve">Intervention–Toxin–Mechanism–Syndrome</x:t>
  </x:si>
  <x:si>
    <x:t xml:space="preserve">COUNTERACTS_TOXIN | ACTS_THROUGH_MECHANISM | CONTRIBUTES_TO_SYNDROME</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</x:si>
  <x:si>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</x:si>
  <x:si>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relation; evidence</x:t>
  </x:si>
  <x:si>
    <x:t xml:space="preserve">The evidence identifies N-acetylcysteine as an antidote or treatment candidate, but treatment/evaluation alone does not prove the full-strength direct COUNTERACTS_TOXIN relation to Alpha-amanitin.</x:t>
  </x:si>
  <x:si>
    <x:t xml:space="preserve">XPV-0010</x:t>
  </x:si>
  <x:si>
    <x:t xml:space="preserve">Hemodialysis → Acute liver failure → Liver</x:t>
  </x:si>
  <x:si>
    <x:t xml:space="preserve">Intervention–Syndrome–Organ</x:t>
  </x:si>
  <x:si>
    <x:t xml:space="preserve">TREATS_SYNDROME | INVOLVES_ORGAN</x:t>
  </x:si>
  <x:si>
    <x:t xml:space="preserve">Edge 1: Hemodialysis —[TREATS_SYNDROME]→ Acute liver failure
  [PMID_12950957.0] Successful use of Molecular Absorbent Regenerating System (MARS) dialysis for the treatment of fulminant hepatic failure in children accidentally poisoned by toxic mushroom ingestion..
  [PMID_15176968.0] Successful treatment of a child with fulminant liver failure and coma caused by Amanita phalloides intoxication with albumin dialysis without liver transplantation. .
Edge 2: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</x:si>
  <x:si>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XPV-0011</x:t>
  </x:si>
  <x:si>
    <x:t xml:space="preserve">Silibinin → Hepatotoxicity → Liver</x:t>
  </x:si>
  <x:si>
    <x:t xml:space="preserve">Edge 1: Silibinin —[TREATS_SYNDROME]→ Hepatotoxicity
  [PMID_25288004.0] The evolution of hepatotoxicity led us to offer investigational treatment with silibinin, an extract of Mediterranean milk thistle.
  [PMID_29285878.0] Existing antidotes, such as silibinin, are not sufficiently effective in the prevention and/or resolution of α-AMA-induced hepatotoxicity.
Edge 2: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</x:si>
  <x:si>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Silibinin was offered as investigational treatment, while the displayed evidence also states that existing antidotes are not sufficiently effective; this supports only a qualified TREATS_SYNDROME judgment.</x:t>
  </x:si>
  <x:si>
    <x:t xml:space="preserve">XPV-0012</x:t>
  </x:si>
  <x:si>
    <x:t xml:space="preserve">Amanita phalloides → Alpha-amanitin → Oxidative stress → Hepatotoxicity → Liver</x:t>
  </x:si>
  <x:si>
    <x:t xml:space="preserve">Species–Toxin–Mechanism–Syndrome–Organ</x:t>
  </x:si>
  <x:si>
    <x:t xml:space="preserve">CONTAINS_TOXIN | ACTS_THROUGH_MECHANISM | CONTRIBUTES_TO_SYNDROME | INVOLVES_ORGAN</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</x:si>
  <x:si>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</x:si>
  <x:si>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XPV-0013</x:t>
  </x:si>
  <x:si>
    <x:t xml:space="preserve">Amanita phalloides → Amatoxins → Death → Central nervous system</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</x:si>
  <x:si>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</x:si>
  <x:si>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Death is a terminal outcome but is used before Central nervous system. The displayed sentences only associate death with Central nervous system-related findings and do not support Death —[INVOLVES_ORGAN]→ Central nervous system; the direction, sequence, endpoint, and evidence therefore fail the protocol.</x:t>
  </x:si>
  <x:si>
    <x:t xml:space="preserve">XPV-0014</x:t>
  </x:si>
  <x:si>
    <x:t xml:space="preserve">Amatoxins → Apoptosis → Death → Liver</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</x:si>
  <x:si>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</x:si>
  <x:si>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XPV-0015</x:t>
  </x:si>
  <x:si>
    <x:t xml:space="preserve">Amanita phalloides → Amatoxins → Apoptosis → Acute liver failure</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</x:si>
  <x:si>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</x:si>
  <x:si>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XPV-0016</x:t>
  </x:si>
  <x:si>
    <x:t xml:space="preserve">Amanita phalloides → Alpha-amanitin → Death → Gastrointestinal tract</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</x:si>
  <x:si>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</x:si>
  <x:si>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Death is a terminal outcome but is used before Gastrointestinal tract. The displayed sentences only associate death with Gastrointestinal tract-related findings and do not support Death —[INVOLVES_ORGAN]→ Gastrointestinal tract; the direction, sequence, endpoint, and evidence therefore fail the protocol.</x:t>
  </x:si>
  <x:si>
    <x:t xml:space="preserve">XPV-0017</x:t>
  </x:si>
  <x:si>
    <x:t xml:space="preserve">Alpha-amanitin → Transcription inhibition → Death → Kidney</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</x:si>
  <x:si>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</x:si>
  <x:si>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Death is a terminal outcome but is used before Kidney. The displayed sentences only associate death with Kidney-related findings and do not support Death —[INVOLVES_ORGAN]→ Kidney; the direction, sequence, endpoint, and evidence therefore fail the protocol.</x:t>
  </x:si>
  <x:si>
    <x:t xml:space="preserve">XPV-0018</x:t>
  </x:si>
  <x:si>
    <x:t xml:space="preserve">Alpha-amanitin → Transcription inhibition → Death → Central nervous system</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</x:si>
  <x:si>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</x:si>
  <x:si>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XPV-0019</x:t>
  </x:si>
  <x:si>
    <x:t xml:space="preserve">N-acetylcysteine → Amatoxins → Apoptosis → Death</x:t>
  </x:si>
  <x:si>
    <x:t xml:space="preserve">COUNTERACTS_TOXIN | ACTS_THROUGH_MECHANISM | CONTRIBUTES_TO_SYNDROME/LEADS_TO_OUTCOME</x:t>
  </x:si>
  <x:si>
    <x:t xml:space="preserve">Edge 1: N-acetylcysteine —[COUNTERACTS_TOXIN]→ Amatoxins
  [PMID_31964279.0] Our study assessed the efficacy of N-acetylcysteine (NAC) as a treatment for amatoxin poisoning.
  [PMID_32609548.0] Anaphylactoid reactions were the principle adverse reaction to NAC treatment in amatoxin-poisoning patients with an incidence of 5% (4/73).
  [PMID_32609548.0] Conclusions: NAC treatment combined with other therapies appears to be beneficial and safe in patients with amatoxin poisoning.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</x:si>
  <x:si>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entity; relation; terminal; evidence</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</x:si>
  <x:si>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N-acetylcysteine as an antidote or treatment candidate, but treatment/evaluation alone does not prove the full-strength direct COUNTERACTS_TOXIN relation to Amatoxins. Death is an outcome, not the syndrome required by the displayed pathway template.</x:t>
  </x:si>
  <x:si>
    <x:t xml:space="preserve">XPV-0020</x:t>
  </x:si>
  <x:si>
    <x:t xml:space="preserve">Benzylpenicillin → Alpha-amanitin → Apoptosis → Hepatotoxicity</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</x:si>
  <x:si>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</x:si>
  <x:si>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The evidence identifies Benzylpenicillin as an antidote or treatment candidate, but treatment/evaluation alone does not prove the full-strength direct COUNTERACTS_TOXIN relation to Alpha-amanitin.</x:t>
  </x:si>
  <x:si>
    <x:t xml:space="preserve">XPV-0021</x:t>
  </x:si>
  <x:si>
    <x:t xml:space="preserve">Lepiota brunneoincarnata → Amatoxins → Death</x:t>
  </x:si>
  <x:si>
    <x:t xml:space="preserve">Species–Toxin–Outcome</x:t>
  </x:si>
  <x:si>
    <x:t xml:space="preserve">CONTAINS_TOXIN | CAUSES_SYNDROME/LEADS_TO_OUTCOME</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</x:si>
  <x:si>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x:t>
  </x:si>
  <x:si>
    <x:t xml:space="preserve">XPV-0022</x:t>
  </x:si>
  <x:si>
    <x:t xml:space="preserve">Alpha-amanitin → Necrosis → Death → Central nervous system</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</x:si>
  <x:si>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</x:si>
  <x:si>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XPV-0023</x:t>
  </x:si>
  <x:si>
    <x:t xml:space="preserve">Alpha-amanitin → Transcription inhibition → Death</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</x:si>
  <x:si>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</x:si>
  <x:si>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XPV-0024</x:t>
  </x:si>
  <x:si>
    <x:t xml:space="preserve">Amanita phalloides → Alpha-amanitin → Apoptosis → Death</x:t>
  </x:si>
  <x:si>
    <x:t xml:space="preserve">CONTAINS_TOXIN | ACTS_THROUGH_MECHANISM | CONTRIBUTES_TO_SYNDROME/LEADS_TO_OUTCOME</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</x:si>
  <x:si>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</x:si>
  <x:si>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entity; terminal; evidence</x:t>
  </x:si>
  <x:si>
    <x:t xml:space="preserve">The final mechanism-to-Death edge is biologically plausible, but the displayed sentences mainly report a common toxin exposure, cellular death, or co-occurring mechanism and organismal death; they do not fully establish the stated direct edge. Death is an outcome, not the syndrome required by the displayed pathway template.</x:t>
  </x:si>
  <x:si>
    <x:t xml:space="preserve">XPV-0025</x:t>
  </x:si>
  <x:si>
    <x:t xml:space="preserve">Amanita phalloides → Alpha-amanitin → Death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</x:si>
  <x:si>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</x:si>
  <x:si>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XPV-0026</x:t>
  </x:si>
  <x:si>
    <x:t xml:space="preserve">Amanita phalloides → Amatoxins → Death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</x:si>
  <x:si>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</x:si>
  <x:si>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XPV-0027</x:t>
  </x:si>
  <x:si>
    <x:t xml:space="preserve">Amanita phalloides → Phallotoxins → Death → Heart</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</x:si>
  <x:si>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</x:si>
  <x:si>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Death is a terminal outcome but is used before Heart. The displayed sentences only associate death with Heart-related findings and do not support Death —[INVOLVES_ORGAN]→ Heart; the direction, sequence, endpoint, and evidence therefore fail the protocol. In addition, the evidence does not isolate phallotoxins as the cause of death rather than co-occurring amatoxins.</x:t>
  </x:si>
  <x:si>
    <x:t xml:space="preserve">XPV-0028</x:t>
  </x:si>
  <x:si>
    <x:t xml:space="preserve">Amanita phalloides → Phallotoxins → Death → Kidney</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</x:si>
  <x:si>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</x:si>
  <x:si>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Death is a terminal outcome but is used before Kidney. The displayed sentences only associate death with Kidney-related findings and do not support Death —[INVOLVES_ORGAN]→ Kidney; the direction, sequence, endpoint, and evidence therefore fail the protocol. In addition, the evidence does not isolate phallotoxins as the cause of death rather than co-occurring amatoxins.</x:t>
  </x:si>
  <x:si>
    <x:t xml:space="preserve">XPV-0029</x:t>
  </x:si>
  <x:si>
    <x:t xml:space="preserve">Amatoxins → Apoptosis → Acute liver failure → Liver</x:t>
  </x:si>
  <x:si>
    <x:t xml:space="preserve">ACTS_THROUGH_MECHANISM | CONTRIBUTES_TO_SYNDROME | INVOLVES_ORGAN</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</x:si>
  <x:si>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</x:si>
  <x:si>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XPV-0030</x:t>
  </x:si>
  <x:si>
    <x:t xml:space="preserve">N-acetylcysteine → Alpha-amanitin → Transcription inhibition → Death</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</x:si>
  <x:si>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</x:si>
  <x:si>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N-acetylcysteine as an antidote or treatment candidate, but treatment/evaluation alone does not prove the full-strength direct COUNTERACTS_TOXIN relation to Alpha-amanitin. Death is an outcome, not the syndrome required by the displayed pathway template.</x:t>
  </x:si>
  <x:si>
    <x:t xml:space="preserve">XPV-0031</x:t>
  </x:si>
  <x:si>
    <x:t xml:space="preserve">Alpha-amanitin → Apoptosis → Death → Heart</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</x:si>
  <x:si>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</x:si>
  <x:si>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XPV-0032</x:t>
  </x:si>
  <x:si>
    <x:t xml:space="preserve">Amatoxins → Apoptosis → Death</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</x:si>
  <x:si>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</x:si>
  <x:si>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XPV-0033</x:t>
  </x:si>
  <x:si>
    <x:t xml:space="preserve">Amatoxins → Apoptosis → Hepatotoxicity → Liver</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</x:si>
  <x:si>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</x:si>
  <x:si>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XPV-0034</x:t>
  </x:si>
  <x:si>
    <x:t xml:space="preserve">Amanita phalloides → Amatoxins → Death → Kidney</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</x:si>
  <x:si>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</x:si>
  <x:si>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XPV-0035</x:t>
  </x:si>
  <x:si>
    <x:t xml:space="preserve">Amanita phalloides → Amatoxins → Acute liver failure → Liver</x:t>
  </x:si>
  <x:si>
    <x:t xml:space="preserve">CONTAINS_TOXIN | CAUSES_SYNDROME | INVOLVES_ORGAN</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</x:si>
  <x:si>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 Acute liver failure
  [PMID_21420474.0] Amatoxin poisoning induces a delayed onset of acute liver failure which might be explained by the prolonged persistence of the toxin in the enterohepatic circulation.
  [PMID_29325729.0] Patients with amatoxin-induced acute liver insufficiency that does not progress to liver failure will have a more favorable survival profile with supportive care than patients with amatoxin-induced acute liver failure, about half of whom will require liver transplantation..
  [PMID_29799455.0] Amatoxin poisoning induces delayed-onset acute liver failure, which are responsible for more than 90% of deaths in mushroom poisoning.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</x:si>
  <x:si>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XPV-0036</x:t>
  </x:si>
  <x:si>
    <x:t xml:space="preserve">Amanita phalloides → Alpha-amanitin → Death → Kidney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</x:si>
  <x:si>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</x:si>
  <x:si>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XPV-0037</x:t>
  </x:si>
  <x:si>
    <x:t xml:space="preserve">Benzylpenicillin → Alpha-amanitin → Transcription inhibition → Death</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</x:si>
  <x:si>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</x:si>
  <x:si>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Benzylpenicillin as an antidote or treatment candidate, but treatment/evaluation alone does not prove the full-strength direct COUNTERACTS_TOXIN relation to Alpha-amanitin. Death is an outcome, not the syndrome required by the displayed pathway template.</x:t>
  </x:si>
  <x:si>
    <x:t xml:space="preserve">XPV-0038</x:t>
  </x:si>
  <x:si>
    <x:t xml:space="preserve">Amanita phalloides → Amatoxins → Death</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</x:si>
  <x:si>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x:t>
  </x:si>
  <x:si>
    <x:t xml:space="preserve">XPV-0039</x:t>
  </x:si>
  <x:si>
    <x:t xml:space="preserve">Amatoxins → Apoptosis → Death → Kidney</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</x:si>
  <x:si>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</x:si>
  <x:si>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XPV-0040</x:t>
  </x:si>
  <x:si>
    <x:t xml:space="preserve">N-acetylcysteine → Alpha-amanitin → Oxidative stress → Hepatotoxicity</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</x:si>
  <x:si>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</x:si>
  <x:si>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XPV-0041</x:t>
  </x:si>
  <x:si>
    <x:t xml:space="preserve">Amanita phalloides → Alpha-amanitin → Necrosis → Death</x:t>
  </x:si>
  <x:si>
    <x:t xml:space="preserve">Species–Toxin–Mechanism–Outcome</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</x:si>
  <x:si>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</x:si>
  <x:si>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XPV-0042</x:t>
  </x:si>
  <x:si>
    <x:t xml:space="preserve">Amanita phalloides → Alpha-amanitin → Oxidative stress → Hepatotoxicity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</x:si>
  <x:si>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</x:si>
  <x:si>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XPV-0043</x:t>
  </x:si>
  <x:si>
    <x:t xml:space="preserve">Alpha-amanitin → Necrosis → Death → Heart</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</x:si>
  <x:si>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</x:si>
  <x:si>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XPV-0044</x:t>
  </x:si>
  <x:si>
    <x:t xml:space="preserve">N-acetylcysteine → Amatoxins → Apoptosis → Acute liver failure</x:t>
  </x:si>
  <x:si>
    <x:t xml:space="preserve">Edge 1: N-acetylcysteine —[COUNTERACTS_TOXIN]→ Amatoxins
  [PMID_31964279.0] Our study assessed the efficacy of N-acetylcysteine (NAC) as a treatment for amatoxin poisoning.
  [PMID_32609548.0] Anaphylactoid reactions were the principle adverse reaction to NAC treatment in amatoxin-poisoning patients with an incidence of 5% (4/73).
  [PMID_32609548.0] Conclusions: NAC treatment combined with other therapies appears to be beneficial and safe in patients with amatoxin poisoning.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</x:si>
  <x:si>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The evidence identifies N-acetylcysteine as an antidote or treatment candidate, but treatment/evaluation alone does not prove the full-strength direct COUNTERACTS_TOXIN relation to Amatoxins.</x:t>
  </x:si>
  <x:si>
    <x:t xml:space="preserve">XPV-0045</x:t>
  </x:si>
  <x:si>
    <x:t xml:space="preserve">Lepiota brunneoincarnata → Amatoxins → Apoptosis → Acute liver failure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</x:si>
  <x:si>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4: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</x:si>
  <x:si>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XPV-0046</x:t>
  </x:si>
  <x:si>
    <x:t xml:space="preserve">Amanita phalloides → Amatoxins → Apoptosis → Death</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</x:si>
  <x:si>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</x:si>
  <x:si>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XPV-0047</x:t>
  </x:si>
  <x:si>
    <x:t xml:space="preserve">Amanita phalloides → Alpha-amanitin → Hepatotoxicity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</x:si>
  <x:si>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 Hepatotoxicity
  [DOI_10.1080_15569543.2016.1178146] Effects of erdosteine on alpha amanitin-induced hepatotoxicity in mice. .
  [DOI_10.11847_zgggws1141854] Protective effect of ganoderma acid A on liver injury induced by α-amanitin in mice. .
  [DOI_10.1590_s2175-97902022e191072] Effects of thymoquinone on alpha-amanitin induced hepatotoxicity in human C3A hepatocytes. .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</x:si>
  <x:si>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XPV-0048</x:t>
  </x:si>
  <x:si>
    <x:t xml:space="preserve">Benzylpenicillin → Alpha-amanitin → Apoptosis → Death</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</x:si>
  <x:si>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</x:si>
  <x:si>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XPV-0049</x:t>
  </x:si>
  <x:si>
    <x:t xml:space="preserve">Liver transplantation → Acute liver failure → Liver</x:t>
  </x:si>
  <x:si>
    <x:t xml:space="preserve">Edge 1: Liver transplantation —[TREATS_SYNDROME]→ Acute liver failure
  [DOI_10.15197_ejgm.01413] Fulminant liver failure due to amanita phalloides toxicity treated with emergent liver transplantation. .
  [PMID_11120150.0] Porcine model of fulminant hepatic failure treated by liver transplantation. .
  [PMID_12192208.0] Liver transplantation in mushroom poisoning.. Liver transplantation plays an important role in the treatment of patients with fulminant hepatic failure (FHF).
Edge 2: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</x:si>
  <x:si>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XPV-0050</x:t>
  </x:si>
  <x:si>
    <x:t xml:space="preserve">Lepiota brunneoincarnata → Amatoxins → Apoptosis → Death</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</x:si>
  <x:si>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</x:si>
  <x:si>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XPV-0051</x:t>
  </x:si>
  <x:si>
    <x:t xml:space="preserve">Silibinin → Alpha-amanitin → Apoptosis → Hepatotoxicity</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</x:si>
  <x:si>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</x:si>
  <x:si>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The evidence identifies Silibinin as an antidote or treatment candidate, but treatment/evaluation alone does not prove the full-strength direct COUNTERACTS_TOXIN relation to Alpha-amanitin.</x:t>
  </x:si>
  <x:si>
    <x:t xml:space="preserve">XPV-0052</x:t>
  </x:si>
  <x:si>
    <x:t xml:space="preserve">XPV-0053</x:t>
  </x:si>
  <x:si>
    <x:t xml:space="preserve">XPV-0054</x:t>
  </x:si>
  <x:si>
    <x:t xml:space="preserve">Lepiota brunneoincarnata → Amatoxins → Hepatotoxicity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</x:si>
  <x:si>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 Hepatotoxicity
  [PMID_17559970.0] We compare the effectiveness of 5 potential antidotal therapies in limiting the degree of hepatonecrosis in a randomized, controlled, murine model of amatoxin-induced hepatotoxicity.
  [PMID_32387737.0] In order to explore the role of apoptosis in alpha-amatoxin (α-AMA) induced liver injury and probable upstream activation signals, we established animal and cellular models, respectively, for this pathophysiological condition.
  [PMID_33098907.0] Alpha-amatoxin (α-AMA) has been considered the primary toxin from amatoxin-containing mushrooms, which is responsible for hepatotoxicity and death.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</x:si>
  <x:si>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XPV-0055</x:t>
  </x:si>
  <x:si>
    <x:t xml:space="preserve">Alpha-amanitin → Apoptosis → Hepatotoxicity → Liver</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</x:si>
  <x:si>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</x:si>
  <x:si>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XPV-0056</x:t>
  </x:si>
  <x:si>
    <x:t xml:space="preserve">Alpha-amanitin → Transcription inhibition → Death → Gastrointestinal tract</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</x:si>
  <x:si>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</x:si>
  <x:si>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XPV-0057</x:t>
  </x:si>
  <x:si>
    <x:t xml:space="preserve">Alpha-amanitin → Oxidative stress → Hepatotoxicity → Liver</x:t>
  </x:si>
  <x:si>
    <x:t xml:space="preserve">Edge 1: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2: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</x:si>
  <x:si>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XPV-0058</x:t>
  </x:si>
  <x:si>
    <x:t xml:space="preserve">Amanita phalloides → Amatoxins → Apoptosis → Hepatotoxicity</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</x:si>
  <x:si>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</x:si>
  <x:si>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XPV-0059</x:t>
  </x:si>
  <x:si>
    <x:t xml:space="preserve">Amatoxins → Apoptosis → Death → Heart</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</x:si>
  <x:si>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</x:si>
  <x:si>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XPV-0060</x:t>
  </x:si>
  <x:si>
    <x:t xml:space="preserve">N-acetylcysteine → Alpha-amanitin → Apoptosis → Death</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</x:si>
  <x:si>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</x:si>
  <x:si>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XPV-0061</x:t>
  </x:si>
  <x:si>
    <x:t xml:space="preserve">Amanita phalloides → Alpha-amanitin → Death</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</x:si>
  <x:si>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x:t>
  </x:si>
  <x:si>
    <x:t xml:space="preserve">XPV-0062</x:t>
  </x:si>
  <x:si>
    <x:t xml:space="preserve">Silibinin → Alpha-amanitin → Apoptosis → Acute liver failure</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</x:si>
  <x:si>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</x:si>
  <x:si>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XPV-0063</x:t>
  </x:si>
  <x:si>
    <x:t xml:space="preserve">Amanita phalloides → Phallotoxins → Death</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</x:si>
  <x:si>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x:t>
  </x:si>
  <x:si>
    <x:t xml:space="preserve">relation; sequence; evidence</x:t>
  </x:si>
  <x:si>
    <x:t xml:space="preserve">Detection or co-occurrence of phalloidin/phallotoxins with amanitin in fatal cases does not isolate phallotoxins as the lethal agent; the displayed evidence does not support the full-strength Phallotoxins → Death relation.</x:t>
  </x:si>
  <x:si>
    <x:t xml:space="preserve">XPV-0064</x:t>
  </x:si>
  <x:si>
    <x:t xml:space="preserve">Lepiota brunneoincarnata → Amatoxins → Acute liver failure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</x:si>
  <x:si>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 Acute liver failure
  [PMID_21420474.0] Amatoxin poisoning induces a delayed onset of acute liver failure which might be explained by the prolonged persistence of the toxin in the enterohepatic circulation.
  [PMID_29325729.0] Patients with amatoxin-induced acute liver insufficiency that does not progress to liver failure will have a more favorable survival profile with supportive care than patients with amatoxin-induced acute liver failure, about half of whom will require liver transplantation..
  [PMID_29799455.0] Amatoxin poisoning induces delayed-onset acute liver failure, which are responsible for more than 90% of deaths in mushroom poisoning.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</x:si>
  <x:si>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XPV-0065</x:t>
  </x:si>
  <x:si>
    <x:t xml:space="preserve">Alpha-amanitin → Apoptosis → Acute liver failure → Liver</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</x:si>
  <x:si>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</x:si>
  <x:si>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XPV-0066</x:t>
  </x:si>
  <x:si>
    <x:t xml:space="preserve">Benzylpenicillin → Alpha-amanitin → Necrosis → Death</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</x:si>
  <x:si>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</x:si>
  <x:si>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XPV-0067</x:t>
  </x:si>
  <x:si>
    <x:t xml:space="preserve">Alpha-amanitin → Apoptosis → Death → Kidney</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</x:si>
  <x:si>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</x:si>
  <x:si>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XPV-0068</x:t>
  </x:si>
  <x:si>
    <x:t xml:space="preserve">Alpha-amanitin → Necrosis → Death → Kidney</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</x:si>
  <x:si>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</x:si>
  <x:si>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XPV-0069</x:t>
  </x:si>
  <x:si>
    <x:t xml:space="preserve">N-acetylcysteine → Amatoxins → Apoptosis → Hepatotoxicity</x:t>
  </x:si>
  <x:si>
    <x:t xml:space="preserve">Edge 1: N-acetylcysteine —[COUNTERACTS_TOXIN]→ Amatoxins
  [PMID_31964279.0] Our study assessed the efficacy of N-acetylcysteine (NAC) as a treatment for amatoxin poisoning.
  [PMID_32609548.0] Anaphylactoid reactions were the principle adverse reaction to NAC treatment in amatoxin-poisoning patients with an incidence of 5% (4/73).
  [PMID_32609548.0] Conclusions: NAC treatment combined with other therapies appears to be beneficial and safe in patients with amatoxin poisoning.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</x:si>
  <x:si>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XPV-0070</x:t>
  </x:si>
  <x:si>
    <x:t xml:space="preserve">Alpha-amanitin → Necrosis → Death → Liver</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</x:si>
  <x:si>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</x:si>
  <x:si>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XPV-0071</x:t>
  </x:si>
  <x:si>
    <x:t xml:space="preserve">XPV-0072</x:t>
  </x:si>
  <x:si>
    <x:t xml:space="preserve">Amatoxins → Apoptosis → Death → Central nervous system</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</x:si>
  <x:si>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</x:si>
  <x:si>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XPV-0073</x:t>
  </x:si>
  <x:si>
    <x:t xml:space="preserve">Amanita phalloides → Alpha-amanitin → Apoptosis → Acute liver failure</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</x:si>
  <x:si>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</x:si>
  <x:si>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XPV-0074</x:t>
  </x:si>
  <x:si>
    <x:t xml:space="preserve">Silibinin → Alpha-amanitin → Transcription inhibition → Death</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</x:si>
  <x:si>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</x:si>
  <x:si>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The final mechanism-to-Death edge is biologically plausible, but the displayed sentences mainly report a common toxin exposure, cellular death, or co-occurring mechanism and organismal death; they do not fully establish the stated direct edge. The evidence identifies Silibinin as an antidote or treatment candidate, but treatment/evaluation alone does not prove the full-strength direct COUNTERACTS_TOXIN relation to Alpha-amanitin. Death is an outcome, not the syndrome required by the displayed pathway template.</x:t>
  </x:si>
  <x:si>
    <x:t xml:space="preserve">XPV-0075</x:t>
  </x:si>
  <x:si>
    <x:t xml:space="preserve">Alpha-amanitin → Apoptosis → Death → Central nervous system</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</x:si>
  <x:si>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</x:si>
  <x:si>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XPV-0076</x:t>
  </x:si>
  <x:si>
    <x:t xml:space="preserve">Alpha-amanitin → Apoptosis → Death → Gastrointestinal tract</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</x:si>
  <x:si>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</x:si>
  <x:si>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XPV-0077</x:t>
  </x:si>
  <x:si>
    <x:t xml:space="preserve">Liver transplantation → Amatoxins → Apoptosis → Acute liver failure</x:t>
  </x:si>
  <x:si>
    <x:t xml:space="preserve">Edge 1: Liver transplantation —[COUNTERACTS_TOXIN]→ Amatoxins
  [PMID_22811920.0] The management of amatoxin poisoning consists of preliminary medical care, supportive measures, detoxification therapies, and orthotopic liver transplantation.
  [PMID_29325729.0] With the exception of liver transplantation, the current treatment strategies for amatoxin poisoning are all supportive and have not been subjected to rigorous efficacy testing in randomized controlled trials.
  [PMID_32609548.0] The MRLTi of amatoxin-poisoning patients with NAC treatment was 11% (57/506), and a MRLTe of 7.9% (40/506) and a liver transplantation rate of 4.3% (22/506).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</x:si>
  <x:si>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relation; direction; sequence; evidence</x:t>
  </x:si>
  <x:si>
    <x:t xml:space="preserve">Liver transplantation treats irreversible hepatic failure downstream of amatoxin injury; it does not directly counteract amatoxins, and the displayed management citations do not support a Liver transplantation → COUNTERACTS_TOXIN → Amatoxins edge.</x:t>
  </x:si>
  <x:si>
    <x:t xml:space="preserve">XPV-0078</x:t>
  </x:si>
  <x:si>
    <x:t xml:space="preserve">Amatoxins → Apoptosis → Death → Gastrointestinal tract</x:t>
  </x:si>
  <x:si>
    <x:t xml:space="preserve">Edge 1: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</x:si>
  <x:si>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XPV-0079</x:t>
  </x:si>
  <x:si>
    <x:t xml:space="preserve">Lepiota brunneoincarnata → Amatoxins → Death → Kidney</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</x:si>
  <x:si>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Kidney
  [DOI_10.1136_vetreccr-2019-000997] Acute, fulminant hepatic and renal failure and subsequent death following Amanita phalloides ingestion in a 4-month-old puppy. .
  [PMID_17721556.0] The main cause of death was acute liver failure and acute renal failure.
  [PMID_25509208.0] The intoxication can progress to acute liver and renal failure and eventually death.</x:t>
  </x:si>
  <x:si>
    <x:t xml:space="preserve">XPV-0080</x:t>
  </x:si>
  <x:si>
    <x:t xml:space="preserve">Amanita phalloides → Amatoxins → Hepatotoxicity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</x:si>
  <x:si>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 Hepatotoxicity
  [PMID_17559970.0] We compare the effectiveness of 5 potential antidotal therapies in limiting the degree of hepatonecrosis in a randomized, controlled, murine model of amatoxin-induced hepatotoxicity.
  [PMID_32387737.0] In order to explore the role of apoptosis in alpha-amatoxin (α-AMA) induced liver injury and probable upstream activation signals, we established animal and cellular models, respectively, for this pathophysiological condition.
  [PMID_33098907.0] Alpha-amatoxin (α-AMA) has been considered the primary toxin from amatoxin-containing mushrooms, which is responsible for hepatotoxicity and death.
Edge 3: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</x:si>
  <x:si>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XPV-0081</x:t>
  </x:si>
  <x:si>
    <x:t xml:space="preserve">Amanita phalloides → Alpha-amanitin → Apoptosis → Hepatotoxicity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</x:si>
  <x:si>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</x:si>
  <x:si>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XPV-0082</x:t>
  </x:si>
  <x:si>
    <x:t xml:space="preserve">Lepiota brunneoincarnata → Amatoxins → Death → Gastrointestinal tract</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</x:si>
  <x:si>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</x:si>
  <x:si>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XPV-0083</x:t>
  </x:si>
  <x:si>
    <x:t xml:space="preserve">Silibinin → Alpha-amanitin → Apoptosis → Death</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</x:si>
  <x:si>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</x:si>
  <x:si>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XPV-0084</x:t>
  </x:si>
  <x:si>
    <x:t xml:space="preserve">Lepiota brunneoincarnata → Amatoxins → Apoptosis → Hepatotoxicity</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</x:si>
  <x:si>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</x:si>
  <x:si>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XPV-0085</x:t>
  </x:si>
  <x:si>
    <x:t xml:space="preserve">Amanita phalloides → Amatoxins → Death → Gastrointestinal tract</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</x:si>
  <x:si>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</x:si>
  <x:si>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XPV-0086</x:t>
  </x:si>
  <x:si>
    <x:t xml:space="preserve">Lepiota brunneoincarnata → Amatoxins → Death → Central nervous system</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</x:si>
  <x:si>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</x:si>
  <x:si>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XPV-0087</x:t>
  </x:si>
  <x:si>
    <x:t xml:space="preserve">N-acetylcysteine → Alpha-amanitin → Apoptosis → Acute liver failure</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</x:si>
  <x:si>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</x:si>
  <x:si>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XPV-0088</x:t>
  </x:si>
  <x:si>
    <x:t xml:space="preserve">N-acetylcysteine → Alpha-amanitin → Necrosis → Death</x:t>
  </x:si>
  <x:si>
    <x:t xml:space="preserve">Edge 1: N-acetylcysteine —[COUNTERACTS_TOXIN]→ Alpha-amanitin
  [PMID_38276537.0] Hematopoietic cell lines were exposed to α-amanitin or β-amanitin for up to 72 h with or without the pan-caspase inhibitor Z-VAD(OH)-FMK, antidotes N-acetylcysteine, silibinin, and benzylpenicillin, and organic anion-transporting polypeptide 1B3 (OATP1B3) inhibitors rifampicin and cyclosporin.
  [PMID_17559970.0] Comparative treatment of alpha-amanitin poisoning with N-acetylcysteine, benzylpenicillin, cimetidine, thioctic acid, and silybin in a murine model..
  [PMID_18655926.0] Comparative treatment of alpha-amanitin poisoning with N-acetylcysteine, benzylpenicillin, cimetidine, thioctic acid, and silybin in a murine model.. .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</x:si>
  <x:si>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XPV-0089</x:t>
  </x:si>
  <x:si>
    <x:t xml:space="preserve">Benzylpenicillin → Alpha-amanitin → Oxidative stress → Hepatotoxicity</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</x:si>
  <x:si>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</x:si>
  <x:si>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XPV-0090</x:t>
  </x:si>
  <x:si>
    <x:t xml:space="preserve">Amanita phalloides → Alpha-amanitin → Apoptosis → Hepatotoxicity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</x:si>
  <x:si>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</x:si>
  <x:si>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XPV-0091</x:t>
  </x:si>
  <x:si>
    <x:t xml:space="preserve">Amanita phalloides → Amatoxins → Apoptosis → Acute liver failure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</x:si>
  <x:si>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4: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</x:si>
  <x:si>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XPV-0092</x:t>
  </x:si>
  <x:si>
    <x:t xml:space="preserve">Amanita phalloides → Amatoxins → Apoptosis → Hepatotoxicity → Liver</x:t>
  </x:si>
  <x:si>
    <x:t xml:space="preserve">Edge 1: Amanita phalloides —[CONTAINS_TOXIN]→ Amatoxins
  [PMID_17336461.0] Alpha amanitin is a powerful natural hepatotoxin that belongs to the amatoxins isolated from deadly poisonous Amanita phalloides mushroom.
  [PMID_25911698.0] Determination of amatoxins and phallotoxins in Amanita phalloides mushrooms from northeastern Portugal by HPLC-DAD-MS.. Amanita phalloides is a toxic mushroom responsible for the majority of deaths occurring after mushrooms ingestion, mainly due to amatoxins.
  [PMID_31407708.0] The histopathological features of the severe intoxication with amatoxin (Toxin contained in amanita phalloides mushrooms). .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</x:si>
  <x:si>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XPV-0093</x:t>
  </x:si>
  <x:si>
    <x:t xml:space="preserve">Lepiota brunneoincarnata → Amatoxins → Death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</x:si>
  <x:si>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—[CAUSES_SYNDROME/LEADS_TO_OUTCOME]→ Death
  [PMID_15533030.0] Amatoxin-containing species are responsible for the most severe cases of mushroom poisoning, with high mortality rate.
  [PMID_15533030.0] Amatoxin-containing species are responsible for the most severe cases of mushroom poisoning, with high mortality rate.
  [PMID_15777146.0] To our knowledge, this is the first death in Australia caused by non-amatoxin-producing mushrooms.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</x:si>
  <x:si>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XPV-0094</x:t>
  </x:si>
  <x:si>
    <x:t xml:space="preserve">Amanita phalloides → Alpha-amanitin → Apoptosis → Acute liver failure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</x:si>
  <x:si>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
Edge 4: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</x:si>
  <x:si>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XPV-0095</x:t>
  </x:si>
  <x:si>
    <x:t xml:space="preserve">Hemodialysis → Nephrotoxicity → Kidney</x:t>
  </x:si>
  <x:si>
    <x:t xml:space="preserve">Edge 1: Hemodialysis —[TREATS_SYNDROME]→ Nephrotoxicity
  [PMID_33676852.0] Medium cut-off membrane hemodialysis may be an alternative option in the treatment of Amanita phalloides poisoning.. acute kidney injury; dialyser; extracorporeal treatment; hemodialysis; intoxication; mushroom poisoning
  [PMID_23506521.0] Here we present a case of Amanita smithiana poisoning resulting in acute kidney injury requiring dialysis, and highlight laboratory methods used to confirm the diagnosis.
Edge 2: Nephrotoxicity —[INVOLVES_ORGAN]→ Kidney
  [DOI_10.1186_s41100-023-00515-x] Three cases of mushroom poisoning with an unexpected initial presentation: acute kidney injury with Amanita proxima poisoning. .
  [PMID_19847734.0] Rare differential diagnosis of acute kidney injury--Case 09/2009. .
  [PMID_23506521.0] Here we present a case of Amanita smithiana poisoning resulting in acute kidney injury requiring dialysis, and highlight laboratory methods used to confirm the diagnosis.</x:t>
  </x:si>
  <x:si>
    <x:t xml:space="preserve">XPV-0096</x:t>
  </x:si>
  <x:si>
    <x:t xml:space="preserve">Plasmapheresis → Acute liver failure → Liver</x:t>
  </x:si>
  <x:si>
    <x:t xml:space="preserve">Edge 1: Plasmapheresis —[TREATS_SYNDROME]→ Acute liver failure
  [PMID_34666895.0] Fulminant liver failure; Severe acute toxic hepatitis; Therapeutic plasma exchange
  [PMID_24727538.0] Experience of treatments of amanita phalloides-Induced fulminant liver failure with molecular adsorbent recirculating system and therapeutic plasma exchange. .
  [PMID_33221398.0] Double plasma molecular adsorption system; Mushroom poisoning; Pediatric acute liver failure; Plasma exchange; Treatment
Edge 2: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</x:si>
  <x:si>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The plasma-exchange citations document treatment use, but the displayed titles/keywords do not provide an outcome or effectiveness statement sufficient for an unqualified evidence rating.</x:t>
  </x:si>
  <x:si>
    <x:t xml:space="preserve">XPV-0097</x:t>
  </x:si>
  <x:si>
    <x:t xml:space="preserve">Amanita phalloides → Alpha-amanitin → Nephrotoxicity → Kidney</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</x:si>
  <x:si>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 Nephrotoxicity
  [PMID_31726883.0] Effects of resveratrol on alpha-amanitin-induced nephrotoxicity in BALB/c mice..
  [PMID_31726883.0] Alpha-amanitin (α-AMA), the primary toxin of Amanita phalloides , is known to cause nephrotoxicity and hepatotoxicity.
  [PMID_38408526.0] Alpha-Amanitin (α-AMA), a toxic substance present in these mushrooms, is responsible for the resulting hepatotoxicity and nephrotoxicity.
Edge 3: Nephrotoxicity —[INVOLVES_ORGAN]→ Kidney
  [DOI_10.1186_s41100-023-00515-x] Three cases of mushroom poisoning with an unexpected initial presentation: acute kidney injury with Amanita proxima poisoning. .
  [PMID_19847734.0] Rare differential diagnosis of acute kidney injury--Case 09/2009. .
  [PMID_23506521.0] Here we present a case of Amanita smithiana poisoning resulting in acute kidney injury requiring dialysis, and highlight laboratory methods used to confirm the diagnosis.</x:t>
  </x:si>
  <x:si>
    <x:t xml:space="preserve">XPV-0098</x:t>
  </x:si>
  <x:si>
    <x:t xml:space="preserve">Liver transplantation → Amatoxins → Apoptosis → Hepatotoxicity</x:t>
  </x:si>
  <x:si>
    <x:t xml:space="preserve">Edge 1: Liver transplantation —[COUNTERACTS_TOXIN]→ Amatoxins
  [PMID_22811920.0] The management of amatoxin poisoning consists of preliminary medical care, supportive measures, detoxification therapies, and orthotopic liver transplantation.
  [PMID_29325729.0] With the exception of liver transplantation, the current treatment strategies for amatoxin poisoning are all supportive and have not been subjected to rigorous efficacy testing in randomized controlled trials.
  [PMID_32609548.0] The MRLTi of amatoxin-poisoning patients with NAC treatment was 11% (57/506), and a MRLTe of 7.9% (40/506) and a liver transplantation rate of 4.3% (22/506).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x:t>
  </x:si>
  <x:si>
    <x:t xml:space="preserve">XPV-0099</x:t>
  </x:si>
  <x:si>
    <x:t xml:space="preserve">Silibinin → Alpha-amanitin → Necrosis → Death</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</x:si>
  <x:si>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3: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x:t>
  </x:si>
  <x:si>
    <x:t xml:space="preserve">XPV-0100</x:t>
  </x:si>
  <x:si>
    <x:t xml:space="preserve">Benzylpenicillin → Alpha-amanitin → Apoptosis → Acute liver failure</x:t>
  </x:si>
  <x:si>
    <x:t xml:space="preserve">Edge 1: Benzylpenicillin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3: Apoptosis —[CONTRIBUTES_TO_SYNDROME]→ Acute liver failure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[PMID_24449466.0] α-1-antitrypsin inhibits acute liver failure in mice.. Acute liver failure remains a critical clinical condition, with high mortality rates, and increased apoptosis of hepatocytes represents a key event in the cause of liver failure.</x:t>
  </x:si>
  <x:si>
    <x:t xml:space="preserve">XPV-0101</x:t>
  </x:si>
  <x:si>
    <x:t xml:space="preserve">Liver transplantation → Amatoxins → Apoptosis → Death</x:t>
  </x:si>
  <x:si>
    <x:t xml:space="preserve">Edge 1: Liver transplantation —[COUNTERACTS_TOXIN]→ Amatoxins
  [PMID_22811920.0] The management of amatoxin poisoning consists of preliminary medical care, supportive measures, detoxification therapies, and orthotopic liver transplantation.
  [PMID_29325729.0] With the exception of liver transplantation, the current treatment strategies for amatoxin poisoning are all supportive and have not been subjected to rigorous efficacy testing in randomized controlled trials.
  [PMID_32609548.0] The MRLTi of amatoxin-poisoning patients with NAC treatment was 11% (57/506), and a MRLTe of 7.9% (40/506) and a liver transplantation rate of 4.3% (22/506).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</x:si>
  <x:si>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The final mechanism-to-Death edge is biologically plausible, but the displayed sentences mainly report a common toxin exposure, cellular death, or co-occurring mechanism and organismal death; they do not fully establish the stated direct edge. Liver transplantation treats irreversible hepatic failure downstream of amatoxin injury; it does not directly counteract amatoxins, and the displayed management citations do not support a Liver transplantation → COUNTERACTS_TOXIN → Amatoxins edge. Death is an outcome, not the syndrome required by the displayed pathway template.</x:t>
  </x:si>
  <x:si>
    <x:t xml:space="preserve">XPV-0102</x:t>
  </x:si>
  <x:si>
    <x:t xml:space="preserve">Amanita phalloides → Phallotoxins → Death → Central nervous system</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</x:si>
  <x:si>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</x:si>
  <x:si>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Death is a terminal outcome but is used before Central nervous system. The displayed sentences only associate death with Central nervous system-related findings and do not support Death —[INVOLVES_ORGAN]→ Central nervous system; the direction, sequence, endpoint, and evidence therefore fail the protocol. In addition, the evidence does not isolate phallotoxins as the cause of death rather than co-occurring amatoxins.</x:t>
  </x:si>
  <x:si>
    <x:t xml:space="preserve">XPV-0103</x:t>
  </x:si>
  <x:si>
    <x:t xml:space="preserve">XPV-0104</x:t>
  </x:si>
  <x:si>
    <x:t xml:space="preserve">Alpha-amanitin → Apoptosis → Death</x:t>
  </x:si>
  <x:si>
    <x:t xml:space="preserve">Edge 1: Alpha-amanitin —[ACTS_THROUGH_MECHANISM]→ Apoptosis
  [PMID_19411846.0] Surprisingly, blocking the transcriptional arm of p53, either via alpha-Amanitin or the p53-specific transcriptional inhibitor Pifithrin alpha, not only fails to inhibit, but greatly potentiates Nutlin-induced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[PMID_20529816.0] alpha-Amanitin induced apoptosis in primary cultured dog hepatocytes..
Edge 2: Apoptosis —[CONTRIBUTES_TO_SYNDROME/LEADS_TO_OUTCOME]→ Death
  [PMID_37992955.0] Our results showed that α-amanitin exposure led to oxidative stress, apoptosis, and DNA damage in both mouse hepatocytes and L-02 cells, resulting in the death of mice.
  [PMID_37992955.0] Our results showed that α-amanitin exposure led to oxidative stress, apoptosis, and DNA damage in both mouse hepatocytes and L-02 cells, resulting in the death of mice.
  [PMID_38260385.0] Mechanistic studies showed HDP-101 up-regulated the unfolded protein response, activated apoptosis, and induced immunogenic cell death.</x:t>
  </x:si>
  <x:si>
    <x:t xml:space="preserve">XPV-0105</x:t>
  </x:si>
  <x:si>
    <x:t xml:space="preserve">Amanita phalloides → Phallotoxins → Death → Liver</x:t>
  </x:si>
  <x:si>
    <x:t xml:space="preserve">Edge 1: Amanita phalloides —[CONTAINS_TOXIN]→ Phallotoxins
  [PMID_11330902.0] Phallotoxins are toxic compounds produced by poisonous mushroom Amanita phalloides and belong to the class of bicyclic peptides with a transannular thioether bridge.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[PMID_23763309.0] The fungus Amanita phalloides is known to contain two main groups of toxins: amanitins and phallotoxins.
Edge 2: Phallotoxins —[CAUSES_SYNDROME/LEADS_TO_OUTCOME]→ Death
  [PMID_12935559.0] We could detect the amanita toxin, amanitin, and phalloidin, in two cases, which resulted in concluding the cause of death.
  [PMID_12935559.0] We could detect the amanita toxin, amanitin, and phalloidin, in two cases, which resulted in concluding the cause of death.
  [PMID_12220312.0] Phallotoxin, which is the other toxin isolated from death cap, binds with a high affinity to microfilamentous structures - in particular, to F-actin, which stimulates the polymerization of G-actin, stabilizes the F-actin filaments, irreversibly polymerizes actin filaments and causes cholestasis (4).
Edge 3: Death —[INVOLVES_ORGAN]→ Liver
  [DOI_10.1136_vetreccr-2019-000997] Acute, fulminant hepatic and renal failure and subsequent death following Amanita phalloides ingestion in a 4-month-old puppy. .
  [PMID_11931514.0] Acute fulminant liver failure and death can occur within a few days of ingestion.
  [PMID_12950957.0] Acute liver failure (ALF) as a result of mushroom poisoning is associated with a high mortality (particularly in children), despite optimal medical therapy (OMT), including charcoal haemoperfusion and haemodiafiltration.</x:t>
  </x:si>
  <x:si>
    <x:t xml:space="preserve">Death is a terminal outcome but is used before Liver. The displayed sentences only associate death with Liver-related findings and do not support Death —[INVOLVES_ORGAN]→ Liver; the direction, sequence, endpoint, and evidence therefore fail the protocol. In addition, the evidence does not isolate phallotoxins as the cause of death rather than co-occurring amatoxins.</x:t>
  </x:si>
  <x:si>
    <x:t xml:space="preserve">XPV-0106</x:t>
  </x:si>
  <x:si>
    <x:t xml:space="preserve">Amanita phalloides → Alpha-amanitin → Acute liver failure → Liver</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</x:si>
  <x:si>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 Acute liver failure
  [PMID_18795660.0] Fulminant hepatic failure (FHF) was induced by the intraportal administration of alpha-amanitin and lipopolysaccharide.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[PMID_40398510.0] The toxin α-amanitin from Amanita phalloides induces hepatocyte death and disrupts local and systemic immune responses, key drivers of acute liver failure (ALF).
Edge 3: Acute liver failure —[INVOLVES_ORGAN]→ Liver
  [PMID_22077243.0] ACUTE POISONING WITH LIVER FAILURE: Randomized controlled trials are very limited in number and patients poisoned by paracetamol or Amanita phalloides are usually included for outcome analysis in larger groups of acute liver failure patients.
  [PMID_23995479.0] The use of a liver with a gunshot injury as a donor for auxiliary liver transplantation: Case report.. liver transplantation can be the only treatment for acute liver failure.
  [PMID_26356645.0] An Update on Treatment of Drug-Induced Liver Injury.. Drug-induced liver injury (DILI) has been linked to more than 1,000 medications and remains the most common cause of acute liver failure in the United States.</x:t>
  </x:si>
  <x:si>
    <x:t xml:space="preserve">XPV-0107</x:t>
  </x:si>
  <x:si>
    <x:t xml:space="preserve">Lepiota brunneoincarnata → Amatoxins → Apoptosis → Hepatotoxicity → Liver</x:t>
  </x:si>
  <x:si>
    <x:t xml:space="preserve">Edge 1: Lepiota brunneoincarnata —[CONTAINS_TOXIN]→ Amatoxins
  [PMID_25831030.0] Amatoxin-containing mushroom (Lepiota brunneoincarnata) familial poisoning.. Serious to fatal toxicity may occur with amanitin-containing mushrooms ingestions.
  [PMID_37970561.0] Determination of Amatoxins in Lepiota brunneoincarnata and Lepiota venenata by High-Performance Liquid Chromatography Coupled with Mass Spectrometry..
Edge 2: Amatoxins —[ACTS_THROUGH_MECHANISM]→ Apoptosis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[PMID_32387737.0] In order to explore the role of apoptosis in alpha-amatoxin (α-AMA) induced liver injury and probable upstream activation signals, we established animal and cellular models, respectively, for this pathophysiological condition.
  [PMID_32387737.0] In addition, we identified ROS to be an upstream signaling molecule involved in the α-AMA-induced apoptosis of mouse liver cells and L-02 cells.. Liver failure; Mitochondrial apoptotic pathway; Reactive oxygen species; p53; α-amatoxin
Edge 3: Apoptosis —[CONTRIBUTES_TO_SYNDROME]→ Hepatotoxicity
  [PMID_20529816.0] Our results demonstrate that apoptosis might contribute to pathogenesis of the severe liver injury in the course of amanitin intoxication, particularly during the early phase of poisoning..
  [PMID_30399359.0] Changes in the mitochondrial proteome in human hepatocytes in response to alpha-amanitin hepatotoxicity.. Amanitin-induced apoptosis is proposed to have a significant effect on the pathogenesis of liver damage.
  [PMID_32387737.0] In order to explore the role of apoptosis in alpha-amatoxin (α-AMA) induced liver injury and probable upstream activation signals, we established animal and cellular models, respectively, for this pathophysiological condition.
Edge 4: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</x:si>
  <x:si>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XPV-0108</x:t>
  </x:si>
  <x:si>
    <x:t xml:space="preserve">Silibinin → Alpha-amanitin → Oxidative stress → Hepatotoxicity</x:t>
  </x:si>
  <x:si>
    <x:t xml:space="preserve">Edge 1: Silibinin —[COUNTERACTS_TOXIN]→ Alpha-amanitin
  [PMID_19454504.0] The objective of this study was a comparative evaluation of benzylpenicillin (Bp), acetylcysteine (ACC) and silibinin (Sil) efficacy as antidotes in hepatocytes intoxicated with alpha-amanitin (alpha-AMA).
  [PMID_19556115.0] Benzylpenicillin, acetylcysteine and silibinin as antidotes in human hepatocytes intoxicated with alpha-amanitin.. Fatalities due to mushroom poisonings are increasing worldwide, with high mortality rate resulting from ingestion of amanitin-producing species.
  [PMID_19556115.0] The objective of this study was a comparative evaluation of benzylpenicillin (BPCN), acetylcysteine (ACC) and silibinin (SIL) as an antidotes in human hepatocytes intoxicated with alpha-amanitin (alpha-AMA).
Edge 2: Alpha-amanitin —[ACTS_THROUGH_MECHANISM]→ Oxidative stress
  [PMID_23247044.0] The observed disturbances in the activity of the examined antioxidant enzymes in cells exposed in vivo to α-amanitin suggest indirect genotoxic effect of α-amanitin through ROS generation..
  [PMID_37992955.0] Cannabidiol protects the liver from α-Amanitin-induced apoptosis and oxidative stress through the regulation of Nrf2.. α-Amanitin, the primary lethal toxin of Amanita, specifically targets the liver, causing oxidative stress, hepatocyte apoptosis, and irreversible liver damage.
  [PMID_37992955.0] To investigate the potential protective effects of cannabidiol on α-amanitin-induced hepatocyte apoptosis and oxidative stress, we established α-amanitin exposure models using C57BL/6J mice and L-02 cells in vitro.
Edge 3: Oxidative stress —[CONTRIBUTES_TO_SYNDROME]→ Hepatotoxicity
  [PMID_28263509.0] Our findings support a significant role for increased oxidative stress in α-amanitin-induced hepatotoxicity..
  [PMID_40108092.0] Collectively, our results demonstrated that α-AMA activates oxidative stress and mitophagy by inhibiting the expression of PRDX6, leading to hepatic injury.
  [PMID_32387737.0] The cyclopeptide -amatoxin induced hepatic injury via the mitochondrial apoptotic pathway associated with oxidative stress..</x:t>
  </x:si>
  <x:si>
    <x:t xml:space="preserve">XPV-0109</x:t>
  </x:si>
  <x:si>
    <x:t xml:space="preserve">Amanita phalloides → Alpha-amanitin → Transcription inhibition → Death</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</x:si>
  <x:si>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3: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x:t>
  </x:si>
  <x:si>
    <x:t xml:space="preserve">XPV-0110</x:t>
  </x:si>
  <x:si>
    <x:t xml:space="preserve">Amanita phalloides → Alpha-amanitin → Death → Central nervous system</x:t>
  </x:si>
  <x:si>
    <x:t xml:space="preserve">Edge 1: Amanita phalloides —[CONTAINS_TOXIN]→ Alpha-amanitin
  [PMID_17336461.0] Alpha amanitin is a powerful natural hepatotoxin that belongs to the amatoxins isolated from deadly poisonous Amanita phalloides mushroom.
  [PMID_29561592.0] Synthesis of the Death-Cap Mushroom Toxin α-Amanitin.. α-Amanitin is an extremely toxic bicyclic octapeptide isolated from the death-cap mushroom, Amanita phalloides.
  [PMID_37905598.0] A label-free electrochemical immunosensor based on decorated cellulose nanofibrous membrane for point-of-care diagnosis of amanitin poisoning via human urine.. α-Amanitin (AMN) is one of the deadliest toxins from mushrooms, present in the deadly mushroom species Amanita phalloides .
Edge 2: Alpha-amanitin —[CAUSES_SYNDROME/LEADS_TO_OUTCOME]→ Death
  [PMID_14598021.0] Hepatotoxicity caused by the mushroom poison alpha-amanitin is an unusual but serious cause of death and liver transplantation.
  [PMID_14598021.0] Hepatotoxicity caused by the mushroom poison alpha-amanitin is an unusual but serious cause of death and liver transplantation.
  [PMID_20207116.0] Benzylpenicyllin and acetylcysteine protection from α-amanitin-induced apoptosis in human hepatocyte cultures.. High mortality rate in Amanita phalloides (death cap) intoxications is a result of the acute liver failure following hepatocyte damage due to hepatocellular uptake of amatoxins.
Edge 3: Death —[INVOLVES_ORGAN]→ Central nervous system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[PMID_33768066.0] Amanita muscaria is a highly poisonous mushroom; the primary effects usually involve the central nervous system, and in severe poisoning, symptoms may manifest with coma and in rare cases lead to death.</x:t>
  </x:si>
  <x:si>
    <x:t xml:space="preserve">XPV-0111</x:t>
  </x:si>
  <x:si>
    <x:t xml:space="preserve">XPV-0112</x:t>
  </x:si>
  <x:si>
    <x:t xml:space="preserve">Alpha-amanitin → Necrosis → Death → Gastrointestinal tract</x:t>
  </x:si>
  <x:si>
    <x:t xml:space="preserve">Edge 1: Alpha-amanitin —[ACTS_THROUGH_MECHANISM]→ Necrosis
  [PMID_30891624.0] Results showed that the administration of the polB + MP combination, 4 h after α-amanitin, led to the full survival of the intoxicated animals, with a significant attenuation of α-amanitin-induced renal and hepatic necrosis.
  [PMID_15122760.0] Because transcription inhibitors (actinomycin D, galactosamine, alpha-amanitin) sensitize primary hepatocytes to the cytotoxic action of tumor necrosis factor (TNF), we reasoned whether topoisomerase inhibitors would act similarly.
  [PMID_27124581.0] In this study, we identify signaling network of necrotic cell death induced by transcriptional repression (TRIAD) by α-amanitin (AMA), the selective RNA polymerase II inhibitor, as a model of neurodegenerative cell death.
Edge 2: Necrosis —[CONTRIBUTES_TO_SYNDROME/LEADS_TO_OUTCOME]→ Death
  [PMID_22362963.0] The cause of panlobular hepatic necrosis and death of both calves was determined to be amanitin toxicosis from ingestion of amanitin-containing mushrooms based on microscopic changes and toxicological analysis of tissues.
  [PMID_22362963.0] The cause of panlobular hepatic necrosis and death of both calves was determined to be amanitin toxicosis from ingestion of amanitin-containing mushrooms based on microscopic changes and toxicological analysis of tissues.
  [PMID_27124581.0] The hnRNP-Htt axis regulates necrotic cell death induced by transcriptional repression through impaired RNA splicing..
Edge 3: Death —[INVOLVES_ORGAN]→ Gastrointestinal tract
  [PMID_27493118.0] The clinically most characteristic symptom is a 6-40 h lag phase before onset of gastrointestinal symptoms and the rapid progression of acute liver failure leading to multi-organ failure and death within a week if left untreated.
  [PMID_30558129.0] The consequences of mushroom poisoning range from mild, mostly gastrointestinal, disturbances to organ failure or even death.
  [PMID_31593144.0] The clinical picture of patients with wild mushroom intoxication depends mostly on the type of ingested mushroom, ranging from mild gastrointestinal symptoms to organ failure and death.</x:t>
  </x:si>
  <x:si>
    <x:t xml:space="preserve">XPV-0113</x:t>
  </x:si>
  <x:si>
    <x:t xml:space="preserve">Liver transplantation → Hepatotoxicity → Liver</x:t>
  </x:si>
  <x:si>
    <x:t xml:space="preserve">Edge 1: Liver transplantation —[TREATS_SYNDROME]→ Hepatotoxicity
  [PMID_38283455.0] Therefore, early recognition of a suspected patient who came with features of mushroom-related food poisoning, timely referral to a liver transplantation center, and adequate supportive management remain the main approaches of management in a patient with acute liver injury.
  [PMID_26837055.0] Further study is needed to define optimal management (including the use of targeted therapies) to improve survival, particularly in the absence of LT.. Amanita phalloides; acute liver failure; acute liver injury; fulminant hepatic failure; liver transplantation; mushroom toxicity
Edge 2: Hepatotoxicity —[INVOLVES_ORGAN]→ Liver
  [PMID_37879594.0] The results of this study suggest a novel path for α-AMA to induce hepatotoxicity through interactions with various proteins involved in protein synthesis, as well as with RNAP II.. Acute liver failure; Alpha-amanitin; Limited proteolysis-coupled mass spectrometry; Spliceosome; Toxic mushroom
  [PMID_38996975.0] These findings suggest that resveratrol could be a potential therapeutic agent for treating liver damage caused by potent hepatotoxins like α-AMA.. Hepatotoxicity; Inflammation; Oxidative stress; Resveratrol; α-Amanitin
  [DOI_10.11847_zgggws1141854] Protective effect of ganoderma acid A on liver injury induced by α-amanitin in mice. .</x:t>
  </x:si>
  <x:si>
    <x:t xml:space="preserve">Liver transplantation is defensible for severe acute liver failure, but the broader Hepatotoxicity label and the displayed referral/management wording do not establish treatment of hepatotoxicity without qualification.</x:t>
  </x:si>
  <x:si>
    <x:t xml:space="preserve">XPV-0114</x:t>
  </x:si>
  <x:si>
    <x:t xml:space="preserve">Alpha-amanitin → Transcription inhibition → Death → Heart</x:t>
  </x:si>
  <x:si>
    <x:t xml:space="preserve">Edge 1: Alpha-amanitin —[ACTS_THROUGH_MECHANISM]→ Transcription inhibition
  [PMID_21922053.0] Next, it summarizes the characteristics and mechanisms of commonly used inhibitors: α-amanitin is highly selective for RNAP II and RNAP III but its action is slow, actinomycin D is fast but its selectivity is poor, CDK9 inhibitors such as DRB and flavopiridol are fast and reversible but many genes escape transcription inhibition.
  [PMID_12447686.0] An inhibition of transcription by alpha-amanitin did not block the Csb-dependent repair in ogg1(-/-) fibroblasts.
  [PMID_15252118.0] The signals were resistant to RNase treatment but disappeared or became faint by previous nicking of DNA or inhibition of transcription with alpha-amanitin.
Edge 2: Transcription inhibition —[CONTRIBUTES_TO_SYNDROME/LEADS_TO_OUTCOME]→ Death
  [PMID_18289623.0] Apoptotic death induced by the cyclophosphamide analogue mafosfamide in human lymphoblastoid cells: contribution of DNA replication, transcription inhibition and Chk/p53 signaling..
  [PMID_18289623.0] Apoptotic death induced by the cyclophosphamide analogue mafosfamide in human lymphoblastoid cells: contribution of DNA replication, transcription inhibition and Chk/p53 signaling..
  [PMID_20207116.0] α-Amanitin (α-AMA), the major amatoxin, blocks a RNA polymerase II, which results in inhibition of transcription of DNA and protein synthesis processes and leads to hepatocyte death.
Edge 3: Death —[INVOLVES_ORGAN]→ Heart
  [PMID_15919444.0] Eight adults and two children died of sepsis (n = 6; 14%) at a median interval of 30 days (range 2 to 66), intraoperative cardiac failure (n = 1), brain edema on postoperative day 8 (n = 1), sudden death on day 35 (n = 1), and multiple organ failure associated with HBV recurrence 4 years after transplantation (n = 1).
  [PMID_33872678.0] Although severe myocardial damage is rare, the fatality rate is extremely high.
  [PMID_33676852.0] Although liver failure and kidney injury are frequent, poisoning can also lead to more serious clinical situations, such as shock, pancreatitis, encephalopathic coma, cardiac failure, disseminated intravascular coagulation, and multiple organ dysfunction syndrome, and may cause death.</x:t>
  </x:si>
  <x:si>
    <x:t xml:space="preserve">XPV-0115</x:t>
  </x:si>
  <x:si>
    <x:t xml:space="preserve">Hemodialysis → Acute kidney injury → Kidney</x:t>
  </x:si>
  <x:si>
    <x:t xml:space="preserve">Edge 1: Hemodialysis —[TREATS_SYNDROME]→ Acute kidney injury
  [PMID_24052974.0] In the group of patients suffering from acute carbon tetrachloride poisoning and with acute renal failure following therapy was used: conservative treatment, exchange blood transfusion--in 4 patients in hepatic coma, renal replacement therapy (peritoneal dialysis, haemodialysis, plasmapheresis).
  [PMID_33676852.0] Medium cut-off membrane hemodialysis may be an alternative option in the treatment of Amanita phalloides poisoning.. acute kidney injury; dialyser; extracorporeal treatment; hemodialysis; intoxication; mushroom poisoning
  [PMID_23506521.0] Here we present a case of Amanita smithiana poisoning resulting in acute kidney injury requiring dialysis, and highlight laboratory methods used to confirm the diagnosis.
Edge 2: Acute kidney injury —[INVOLVES_ORGAN]→ Kidney
  [PMID_36908014.0] One-third developed an acute renal injury (AKI).
  [DOI_10.1016_j.myc.2016.12.004] Acute renal failure caused by Amanita oberwinklerana poisoning. .
  [DOI_10.1080_09563070310001626065] Amanita phalloides causing acute renal failure and liver disease resolved with intensive therapy. .</x:t>
  </x:si>
  <x:si>
    <x:t xml:space="preserve">Field</x:t>
  </x:si>
  <x:si>
    <x:t xml:space="preserve">Instruction</x:t>
  </x:si>
  <x:si>
    <x:t xml:space="preserve">All entities are correctly represented and normalized.</x:t>
  </x:si>
  <x:si>
    <x:t xml:space="preserve">Every adjacent biological relation is valid.</x:t>
  </x:si>
  <x:si>
    <x:t xml:space="preserve">Every relation is oriented in the correct direction.</x:t>
  </x:si>
  <x:si>
    <x:t xml:space="preserve">The multi-step biological sequence is coherent.</x:t>
  </x:si>
  <x:si>
    <x:t xml:space="preserve">The final node is an appropriate syndrome, organ, or outcome for the template.</x:t>
  </x:si>
  <x:si>
    <x:t xml:space="preserve">Every edge is supported by the displayed literature evidence.</x:t>
  </x:si>
  <x:si>
    <x:t xml:space="preserve">YES only if all components of the entire pathway are correct; otherwise NO/BORDERLINE/UNCERTAIN.</x:t>
  </x:si>
  <x:si>
    <x:t xml:space="preserve">Choose one or more: entity; relation; direction; sequence; terminal; evidence; other.</x:t>
  </x:si>
  <x:si>
    <x:t xml:space="preserve">Brief justification, especially for No, Borderline, or Uncertain.</x:t>
  </x:si>
</x:sst>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left style="thin">
        <x:color auto="1"/>
      </x:left>
      <x:right style="thin">
        <x:color auto="1"/>
      </x:right>
      <x:top style="thin">
        <x:color auto="1"/>
      </x:top>
      <x:bottom style="thin">
        <x:color auto="1"/>
      </x:bottom>
    </x:border>
  </x:borders>
  <x:cellStyleXfs count="1">
    <x:xf numFmtId="0" fontId="0" fillId="0" borderId="0"/>
  </x:cellStyleXfs>
  <x:cellXfs count="3">
    <x:xf numFmtId="0" fontId="0" fillId="0" borderId="0" xfId="0"/>
    <x:xf numFmtId="0" fontId="0" fillId="0" borderId="0" xfId="0" applyAlignment="1">
      <x:alignment vertical="top" wrapText="1"/>
    </x:xf>
    <x:xf numFmtId="0" fontId="1" fillId="0" borderId="1" xfId="0" applyFont="1" applyBorder="1" applyAlignment="1">
      <x:alignment horizontal="center" vertical="top"/>
    </x:xf>
  </x:cellXfs>
  <x:cellStyles count="1">
    <x:cellStyle name="Normal" xfId="0"/>
  </x:cellStyles>
  <x:dxfs count="4">
    <x:dxf>
      <x:font>
        <x:color rgb="FF274060"/>
      </x:font>
      <x:fill>
        <x:patternFill>
          <x:bgColor rgb="FFE8EEF7"/>
        </x:patternFill>
      </x:fill>
    </x:dxf>
    <x:dxf>
      <x:font>
        <x:color rgb="FF7A4E00"/>
      </x:font>
      <x:fill>
        <x:patternFill>
          <x:bgColor rgb="FFFFF4CC"/>
        </x:patternFill>
      </x:fill>
    </x:dxf>
    <x:dxf>
      <x:font>
        <x:color rgb="FFB71C1C"/>
      </x:font>
      <x:fill>
        <x:patternFill>
          <x:bgColor rgb="FFFCE8E6"/>
        </x:patternFill>
      </x:fill>
    </x:dxf>
    <x:dxf>
      <x:font>
        <x:color rgb="FF1B5E20"/>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828339288e4cec" /><Relationship Type="http://schemas.openxmlformats.org/officeDocument/2006/relationships/theme" Target="/xl/theme/theme1.xml" Id="R7bc8584b59e14c5c" /><Relationship Type="http://schemas.openxmlformats.org/officeDocument/2006/relationships/sharedStrings" Target="/xl/sharedStrings.xml" Id="R35a2a370f7b4454a" /><Relationship Type="http://schemas.openxmlformats.org/officeDocument/2006/relationships/worksheet" Target="/xl/worksheets/sheet1.xml" Id="Rf6de1483c13e4c22" /><Relationship Type="http://schemas.openxmlformats.org/officeDocument/2006/relationships/worksheet" Target="/xl/worksheets/sheet2.xml" Id="R5aa96e6c66cd403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7109375" customWidth="1"/>
    <x:col min="2" max="5" width="9.140625" style="1" customWidth="0"/>
    <x:col min="6" max="12" width="22.7109375" customWidth="1"/>
    <x:col min="13" max="1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row>
    <x:row r="2" ht="90" customHeight="1">
      <x:c r="A2" t="s">
        <x:v>14</x:v>
      </x:c>
      <x:c r="B2" s="1" t="s">
        <x:v>15</x:v>
      </x:c>
      <x:c r="C2" s="1" t="s">
        <x:v>16</x:v>
      </x:c>
      <x:c r="D2" s="1" t="s">
        <x:v>17</x:v>
      </x:c>
      <x:c r="E2" s="1" t="s">
        <x:v>18</x:v>
      </x:c>
      <x:c r="F2" s="1" t="s">
        <x:v>19</x:v>
      </x:c>
      <x:c r="G2" s="1" t="s">
        <x:v>19</x:v>
      </x:c>
      <x:c r="H2" s="1" t="s">
        <x:v>19</x:v>
      </x:c>
      <x:c r="I2" s="1" t="s">
        <x:v>19</x:v>
      </x:c>
      <x:c r="J2" s="1" t="s">
        <x:v>19</x:v>
      </x:c>
      <x:c r="K2" s="1" t="s">
        <x:v>19</x:v>
      </x:c>
      <x:c r="L2" s="1" t="str">
        <x:f t="shared" ref="L2:L65" si="0">IF(COUNTIF(F2:K2,"No")&gt;0,"No",IF(COUNTIF(F2:K2,"Borderline")&gt;0,"Borderline",IF(COUNTIF(F2:K2,"Uncertain")&gt;0,"Uncertain","Yes")))</x:f>
        <x:v>No</x:v>
      </x:c>
      <x:c r="M2" s="1" t="s">
        <x:v>20</x:v>
      </x:c>
      <x:c r="N2" s="1" t="s">
        <x:v>21</x:v>
      </x:c>
    </x:row>
    <x:row r="3" ht="90" customHeight="1">
      <x:c r="A3" t="s">
        <x:v>22</x:v>
      </x:c>
      <x:c r="B3" s="1" t="s">
        <x:v>23</x:v>
      </x:c>
      <x:c r="C3" s="1" t="s">
        <x:v>24</x:v>
      </x:c>
      <x:c r="D3" s="1" t="s">
        <x:v>25</x:v>
      </x:c>
      <x:c r="E3" s="1" t="s">
        <x:v>26</x:v>
      </x:c>
      <x:c r="F3" s="1" t="s">
        <x:v>27</x:v>
      </x:c>
      <x:c r="G3" s="1" t="s">
        <x:v>27</x:v>
      </x:c>
      <x:c r="H3" s="1" t="s">
        <x:v>27</x:v>
      </x:c>
      <x:c r="I3" s="1" t="s">
        <x:v>27</x:v>
      </x:c>
      <x:c r="J3" s="1" t="s">
        <x:v>27</x:v>
      </x:c>
      <x:c r="K3" s="1" t="s">
        <x:v>27</x:v>
      </x:c>
      <x:c r="L3" s="1" t="str">
        <x:f t="shared" si="0"/>
        <x:v>Yes</x:v>
      </x:c>
      <x:c r="N3" s="1" t="s">
        <x:v>28</x:v>
      </x:c>
    </x:row>
    <x:row r="4" ht="90" customHeight="1">
      <x:c r="A4" t="s">
        <x:v>29</x:v>
      </x:c>
      <x:c r="B4" s="1" t="s">
        <x:v>30</x:v>
      </x:c>
      <x:c r="C4" s="1" t="s">
        <x:v>31</x:v>
      </x:c>
      <x:c r="D4" s="1" t="s">
        <x:v>32</x:v>
      </x:c>
      <x:c r="E4" s="1" t="s">
        <x:v>33</x:v>
      </x:c>
      <x:c r="F4" s="1" t="s">
        <x:v>19</x:v>
      </x:c>
      <x:c r="G4" s="1" t="s">
        <x:v>19</x:v>
      </x:c>
      <x:c r="H4" s="1" t="s">
        <x:v>19</x:v>
      </x:c>
      <x:c r="I4" s="1" t="s">
        <x:v>19</x:v>
      </x:c>
      <x:c r="J4" s="1" t="s">
        <x:v>19</x:v>
      </x:c>
      <x:c r="K4" s="1" t="s">
        <x:v>19</x:v>
      </x:c>
      <x:c r="L4" s="1" t="str">
        <x:f t="shared" si="0"/>
        <x:v>No</x:v>
      </x:c>
      <x:c r="M4" s="1" t="s">
        <x:v>20</x:v>
      </x:c>
      <x:c r="N4" s="1" t="s">
        <x:v>34</x:v>
      </x:c>
    </x:row>
    <x:row r="5" ht="90" customHeight="1">
      <x:c r="A5" t="s">
        <x:v>35</x:v>
      </x:c>
      <x:c r="B5" s="1" t="s">
        <x:v>36</x:v>
      </x:c>
      <x:c r="C5" s="1" t="s">
        <x:v>31</x:v>
      </x:c>
      <x:c r="D5" s="1" t="s">
        <x:v>32</x:v>
      </x:c>
      <x:c r="E5" s="1" t="s">
        <x:v>37</x:v>
      </x:c>
      <x:c r="F5" s="1" t="s">
        <x:v>19</x:v>
      </x:c>
      <x:c r="G5" s="1" t="s">
        <x:v>19</x:v>
      </x:c>
      <x:c r="H5" s="1" t="s">
        <x:v>19</x:v>
      </x:c>
      <x:c r="I5" s="1" t="s">
        <x:v>19</x:v>
      </x:c>
      <x:c r="J5" s="1" t="s">
        <x:v>19</x:v>
      </x:c>
      <x:c r="K5" s="1" t="s">
        <x:v>19</x:v>
      </x:c>
      <x:c r="L5" s="1" t="str">
        <x:f t="shared" si="0"/>
        <x:v>No</x:v>
      </x:c>
      <x:c r="M5" s="1" t="s">
        <x:v>20</x:v>
      </x:c>
      <x:c r="N5" s="1" t="s">
        <x:v>34</x:v>
      </x:c>
    </x:row>
    <x:row r="6" ht="90" customHeight="1">
      <x:c r="A6" t="s">
        <x:v>38</x:v>
      </x:c>
      <x:c r="B6" s="1" t="s">
        <x:v>39</x:v>
      </x:c>
      <x:c r="C6" s="1" t="s">
        <x:v>16</x:v>
      </x:c>
      <x:c r="D6" s="1" t="s">
        <x:v>17</x:v>
      </x:c>
      <x:c r="E6" s="1" t="s">
        <x:v>40</x:v>
      </x:c>
      <x:c r="F6" s="1" t="s">
        <x:v>19</x:v>
      </x:c>
      <x:c r="G6" s="1" t="s">
        <x:v>19</x:v>
      </x:c>
      <x:c r="H6" s="1" t="s">
        <x:v>19</x:v>
      </x:c>
      <x:c r="I6" s="1" t="s">
        <x:v>19</x:v>
      </x:c>
      <x:c r="J6" s="1" t="s">
        <x:v>19</x:v>
      </x:c>
      <x:c r="K6" s="1" t="s">
        <x:v>19</x:v>
      </x:c>
      <x:c r="L6" s="1" t="str">
        <x:f t="shared" si="0"/>
        <x:v>No</x:v>
      </x:c>
      <x:c r="M6" s="1" t="s">
        <x:v>20</x:v>
      </x:c>
      <x:c r="N6" s="1" t="s">
        <x:v>21</x:v>
      </x:c>
    </x:row>
    <x:row r="7" ht="90" customHeight="1">
      <x:c r="A7" t="s">
        <x:v>41</x:v>
      </x:c>
      <x:c r="B7" s="1" t="s">
        <x:v>42</x:v>
      </x:c>
      <x:c r="C7" s="1" t="s">
        <x:v>31</x:v>
      </x:c>
      <x:c r="D7" s="1" t="s">
        <x:v>32</x:v>
      </x:c>
      <x:c r="E7" s="1" t="s">
        <x:v>43</x:v>
      </x:c>
      <x:c r="F7" s="1" t="s">
        <x:v>19</x:v>
      </x:c>
      <x:c r="G7" s="1" t="s">
        <x:v>19</x:v>
      </x:c>
      <x:c r="H7" s="1" t="s">
        <x:v>19</x:v>
      </x:c>
      <x:c r="I7" s="1" t="s">
        <x:v>19</x:v>
      </x:c>
      <x:c r="J7" s="1" t="s">
        <x:v>19</x:v>
      </x:c>
      <x:c r="K7" s="1" t="s">
        <x:v>19</x:v>
      </x:c>
      <x:c r="L7" s="1" t="str">
        <x:f t="shared" si="0"/>
        <x:v>No</x:v>
      </x:c>
      <x:c r="M7" s="1" t="s">
        <x:v>20</x:v>
      </x:c>
      <x:c r="N7" s="1" t="s">
        <x:v>44</x:v>
      </x:c>
    </x:row>
    <x:row r="8" ht="90" customHeight="1">
      <x:c r="A8" t="s">
        <x:v>45</x:v>
      </x:c>
      <x:c r="B8" s="1" t="s">
        <x:v>46</x:v>
      </x:c>
      <x:c r="C8" s="1" t="s">
        <x:v>31</x:v>
      </x:c>
      <x:c r="D8" s="1" t="s">
        <x:v>32</x:v>
      </x:c>
      <x:c r="E8" s="1" t="s">
        <x:v>47</x:v>
      </x:c>
      <x:c r="F8" s="1" t="s">
        <x:v>19</x:v>
      </x:c>
      <x:c r="G8" s="1" t="s">
        <x:v>19</x:v>
      </x:c>
      <x:c r="H8" s="1" t="s">
        <x:v>19</x:v>
      </x:c>
      <x:c r="I8" s="1" t="s">
        <x:v>19</x:v>
      </x:c>
      <x:c r="J8" s="1" t="s">
        <x:v>19</x:v>
      </x:c>
      <x:c r="K8" s="1" t="s">
        <x:v>19</x:v>
      </x:c>
      <x:c r="L8" s="1" t="str">
        <x:f t="shared" si="0"/>
        <x:v>No</x:v>
      </x:c>
      <x:c r="M8" s="1" t="s">
        <x:v>20</x:v>
      </x:c>
      <x:c r="N8" s="1" t="s">
        <x:v>34</x:v>
      </x:c>
    </x:row>
    <x:row r="9" ht="90" customHeight="1">
      <x:c r="A9" t="s">
        <x:v>48</x:v>
      </x:c>
      <x:c r="B9" s="1" t="s">
        <x:v>49</x:v>
      </x:c>
      <x:c r="C9" s="1" t="s">
        <x:v>50</x:v>
      </x:c>
      <x:c r="D9" s="1" t="s">
        <x:v>51</x:v>
      </x:c>
      <x:c r="E9" s="1" t="s">
        <x:v>52</x:v>
      </x:c>
      <x:c r="F9" s="1" t="s">
        <x:v>27</x:v>
      </x:c>
      <x:c r="G9" s="1" t="s">
        <x:v>27</x:v>
      </x:c>
      <x:c r="H9" s="1" t="s">
        <x:v>27</x:v>
      </x:c>
      <x:c r="I9" s="1" t="s">
        <x:v>27</x:v>
      </x:c>
      <x:c r="J9" s="1" t="s">
        <x:v>27</x:v>
      </x:c>
      <x:c r="K9" s="1" t="s">
        <x:v>53</x:v>
      </x:c>
      <x:c r="L9" s="1" t="str">
        <x:f t="shared" si="0"/>
        <x:v>Borderline</x:v>
      </x:c>
      <x:c r="M9" s="1" t="s">
        <x:v>54</x:v>
      </x:c>
      <x:c r="N9" s="1" t="s">
        <x:v>55</x:v>
      </x:c>
    </x:row>
    <x:row r="10" ht="90" customHeight="1">
      <x:c r="A10" t="s">
        <x:v>56</x:v>
      </x:c>
      <x:c r="B10" s="1" t="s">
        <x:v>57</x:v>
      </x:c>
      <x:c r="C10" s="1" t="s">
        <x:v>58</x:v>
      </x:c>
      <x:c r="D10" s="1" t="s">
        <x:v>59</x:v>
      </x:c>
      <x:c r="E10" s="1" t="s">
        <x:v>60</x:v>
      </x:c>
      <x:c r="F10" s="1" t="s">
        <x:v>27</x:v>
      </x:c>
      <x:c r="G10" s="1" t="s">
        <x:v>53</x:v>
      </x:c>
      <x:c r="H10" s="1" t="s">
        <x:v>27</x:v>
      </x:c>
      <x:c r="I10" s="1" t="s">
        <x:v>27</x:v>
      </x:c>
      <x:c r="J10" s="1" t="s">
        <x:v>27</x:v>
      </x:c>
      <x:c r="K10" s="1" t="s">
        <x:v>53</x:v>
      </x:c>
      <x:c r="L10" s="1" t="str">
        <x:f t="shared" si="0"/>
        <x:v>Borderline</x:v>
      </x:c>
      <x:c r="M10" s="1" t="s">
        <x:v>61</x:v>
      </x:c>
      <x:c r="N10" s="1" t="s">
        <x:v>62</x:v>
      </x:c>
    </x:row>
    <x:row r="11" ht="90" customHeight="1">
      <x:c r="A11" t="s">
        <x:v>63</x:v>
      </x:c>
      <x:c r="B11" s="1" t="s">
        <x:v>64</x:v>
      </x:c>
      <x:c r="C11" s="1" t="s">
        <x:v>65</x:v>
      </x:c>
      <x:c r="D11" s="1" t="s">
        <x:v>66</x:v>
      </x:c>
      <x:c r="E11" s="1" t="s">
        <x:v>67</x:v>
      </x:c>
      <x:c r="F11" s="1" t="s">
        <x:v>27</x:v>
      </x:c>
      <x:c r="G11" s="1" t="s">
        <x:v>27</x:v>
      </x:c>
      <x:c r="H11" s="1" t="s">
        <x:v>27</x:v>
      </x:c>
      <x:c r="I11" s="1" t="s">
        <x:v>27</x:v>
      </x:c>
      <x:c r="J11" s="1" t="s">
        <x:v>27</x:v>
      </x:c>
      <x:c r="K11" s="1" t="s">
        <x:v>27</x:v>
      </x:c>
      <x:c r="L11" s="1" t="str">
        <x:f t="shared" si="0"/>
        <x:v>Yes</x:v>
      </x:c>
      <x:c r="N11" s="1" t="s">
        <x:v>28</x:v>
      </x:c>
    </x:row>
    <x:row r="12" ht="90" customHeight="1">
      <x:c r="A12" t="s">
        <x:v>68</x:v>
      </x:c>
      <x:c r="B12" s="1" t="s">
        <x:v>69</x:v>
      </x:c>
      <x:c r="C12" s="1" t="s">
        <x:v>65</x:v>
      </x:c>
      <x:c r="D12" s="1" t="s">
        <x:v>66</x:v>
      </x:c>
      <x:c r="E12" s="1" t="s">
        <x:v>70</x:v>
      </x:c>
      <x:c r="F12" s="1" t="s">
        <x:v>27</x:v>
      </x:c>
      <x:c r="G12" s="1" t="s">
        <x:v>53</x:v>
      </x:c>
      <x:c r="H12" s="1" t="s">
        <x:v>27</x:v>
      </x:c>
      <x:c r="I12" s="1" t="s">
        <x:v>27</x:v>
      </x:c>
      <x:c r="J12" s="1" t="s">
        <x:v>27</x:v>
      </x:c>
      <x:c r="K12" s="1" t="s">
        <x:v>53</x:v>
      </x:c>
      <x:c r="L12" s="1" t="str">
        <x:f t="shared" si="0"/>
        <x:v>Borderline</x:v>
      </x:c>
      <x:c r="M12" s="1" t="s">
        <x:v>61</x:v>
      </x:c>
      <x:c r="N12" s="1" t="s">
        <x:v>71</x:v>
      </x:c>
    </x:row>
    <x:row r="13" ht="90" customHeight="1">
      <x:c r="A13" t="s">
        <x:v>72</x:v>
      </x:c>
      <x:c r="B13" s="1" t="s">
        <x:v>73</x:v>
      </x:c>
      <x:c r="C13" s="1" t="s">
        <x:v>74</x:v>
      </x:c>
      <x:c r="D13" s="1" t="s">
        <x:v>75</x:v>
      </x:c>
      <x:c r="E13" s="1" t="s">
        <x:v>76</x:v>
      </x:c>
      <x:c r="F13" s="1" t="s">
        <x:v>27</x:v>
      </x:c>
      <x:c r="G13" s="1" t="s">
        <x:v>27</x:v>
      </x:c>
      <x:c r="H13" s="1" t="s">
        <x:v>27</x:v>
      </x:c>
      <x:c r="I13" s="1" t="s">
        <x:v>27</x:v>
      </x:c>
      <x:c r="J13" s="1" t="s">
        <x:v>27</x:v>
      </x:c>
      <x:c r="K13" s="1" t="s">
        <x:v>27</x:v>
      </x:c>
      <x:c r="L13" s="1" t="str">
        <x:f t="shared" si="0"/>
        <x:v>Yes</x:v>
      </x:c>
      <x:c r="N13" s="1" t="s">
        <x:v>28</x:v>
      </x:c>
    </x:row>
    <x:row r="14" ht="90" customHeight="1">
      <x:c r="A14" t="s">
        <x:v>77</x:v>
      </x:c>
      <x:c r="B14" s="1" t="s">
        <x:v>78</x:v>
      </x:c>
      <x:c r="C14" s="1" t="s">
        <x:v>31</x:v>
      </x:c>
      <x:c r="D14" s="1" t="s">
        <x:v>32</x:v>
      </x:c>
      <x:c r="E14" s="1" t="s">
        <x:v>79</x:v>
      </x:c>
      <x:c r="F14" s="1" t="s">
        <x:v>19</x:v>
      </x:c>
      <x:c r="G14" s="1" t="s">
        <x:v>19</x:v>
      </x:c>
      <x:c r="H14" s="1" t="s">
        <x:v>19</x:v>
      </x:c>
      <x:c r="I14" s="1" t="s">
        <x:v>19</x:v>
      </x:c>
      <x:c r="J14" s="1" t="s">
        <x:v>19</x:v>
      </x:c>
      <x:c r="K14" s="1" t="s">
        <x:v>19</x:v>
      </x:c>
      <x:c r="L14" s="1" t="str">
        <x:f t="shared" si="0"/>
        <x:v>No</x:v>
      </x:c>
      <x:c r="M14" s="1" t="s">
        <x:v>20</x:v>
      </x:c>
      <x:c r="N14" s="1" t="s">
        <x:v>80</x:v>
      </x:c>
    </x:row>
    <x:row r="15" ht="90" customHeight="1">
      <x:c r="A15" t="s">
        <x:v>81</x:v>
      </x:c>
      <x:c r="B15" s="1" t="s">
        <x:v>82</x:v>
      </x:c>
      <x:c r="C15" s="1" t="s">
        <x:v>16</x:v>
      </x:c>
      <x:c r="D15" s="1" t="s">
        <x:v>17</x:v>
      </x:c>
      <x:c r="E15" s="1" t="s">
        <x:v>83</x:v>
      </x:c>
      <x:c r="F15" s="1" t="s">
        <x:v>19</x:v>
      </x:c>
      <x:c r="G15" s="1" t="s">
        <x:v>19</x:v>
      </x:c>
      <x:c r="H15" s="1" t="s">
        <x:v>19</x:v>
      </x:c>
      <x:c r="I15" s="1" t="s">
        <x:v>19</x:v>
      </x:c>
      <x:c r="J15" s="1" t="s">
        <x:v>19</x:v>
      </x:c>
      <x:c r="K15" s="1" t="s">
        <x:v>19</x:v>
      </x:c>
      <x:c r="L15" s="1" t="str">
        <x:f t="shared" si="0"/>
        <x:v>No</x:v>
      </x:c>
      <x:c r="M15" s="1" t="s">
        <x:v>20</x:v>
      </x:c>
      <x:c r="N15" s="1" t="s">
        <x:v>21</x:v>
      </x:c>
    </x:row>
    <x:row r="16" ht="90" customHeight="1">
      <x:c r="A16" t="s">
        <x:v>84</x:v>
      </x:c>
      <x:c r="B16" s="1" t="s">
        <x:v>85</x:v>
      </x:c>
      <x:c r="C16" s="1" t="s">
        <x:v>24</x:v>
      </x:c>
      <x:c r="D16" s="1" t="s">
        <x:v>25</x:v>
      </x:c>
      <x:c r="E16" s="1" t="s">
        <x:v>86</x:v>
      </x:c>
      <x:c r="F16" s="1" t="s">
        <x:v>27</x:v>
      </x:c>
      <x:c r="G16" s="1" t="s">
        <x:v>27</x:v>
      </x:c>
      <x:c r="H16" s="1" t="s">
        <x:v>27</x:v>
      </x:c>
      <x:c r="I16" s="1" t="s">
        <x:v>27</x:v>
      </x:c>
      <x:c r="J16" s="1" t="s">
        <x:v>27</x:v>
      </x:c>
      <x:c r="K16" s="1" t="s">
        <x:v>27</x:v>
      </x:c>
      <x:c r="L16" s="1" t="str">
        <x:f t="shared" si="0"/>
        <x:v>Yes</x:v>
      </x:c>
      <x:c r="N16" s="1" t="s">
        <x:v>28</x:v>
      </x:c>
    </x:row>
    <x:row r="17" ht="90" customHeight="1">
      <x:c r="A17" t="s">
        <x:v>87</x:v>
      </x:c>
      <x:c r="B17" s="1" t="s">
        <x:v>88</x:v>
      </x:c>
      <x:c r="C17" s="1" t="s">
        <x:v>31</x:v>
      </x:c>
      <x:c r="D17" s="1" t="s">
        <x:v>32</x:v>
      </x:c>
      <x:c r="E17" s="1" t="s">
        <x:v>89</x:v>
      </x:c>
      <x:c r="F17" s="1" t="s">
        <x:v>19</x:v>
      </x:c>
      <x:c r="G17" s="1" t="s">
        <x:v>19</x:v>
      </x:c>
      <x:c r="H17" s="1" t="s">
        <x:v>19</x:v>
      </x:c>
      <x:c r="I17" s="1" t="s">
        <x:v>19</x:v>
      </x:c>
      <x:c r="J17" s="1" t="s">
        <x:v>19</x:v>
      </x:c>
      <x:c r="K17" s="1" t="s">
        <x:v>19</x:v>
      </x:c>
      <x:c r="L17" s="1" t="str">
        <x:f t="shared" si="0"/>
        <x:v>No</x:v>
      </x:c>
      <x:c r="M17" s="1" t="s">
        <x:v>20</x:v>
      </x:c>
      <x:c r="N17" s="1" t="s">
        <x:v>90</x:v>
      </x:c>
    </x:row>
    <x:row r="18" ht="90" customHeight="1">
      <x:c r="A18" t="s">
        <x:v>91</x:v>
      </x:c>
      <x:c r="B18" s="1" t="s">
        <x:v>92</x:v>
      </x:c>
      <x:c r="C18" s="1" t="s">
        <x:v>16</x:v>
      </x:c>
      <x:c r="D18" s="1" t="s">
        <x:v>17</x:v>
      </x:c>
      <x:c r="E18" s="1" t="s">
        <x:v>93</x:v>
      </x:c>
      <x:c r="F18" s="1" t="s">
        <x:v>19</x:v>
      </x:c>
      <x:c r="G18" s="1" t="s">
        <x:v>19</x:v>
      </x:c>
      <x:c r="H18" s="1" t="s">
        <x:v>19</x:v>
      </x:c>
      <x:c r="I18" s="1" t="s">
        <x:v>19</x:v>
      </x:c>
      <x:c r="J18" s="1" t="s">
        <x:v>19</x:v>
      </x:c>
      <x:c r="K18" s="1" t="s">
        <x:v>19</x:v>
      </x:c>
      <x:c r="L18" s="1" t="str">
        <x:f t="shared" si="0"/>
        <x:v>No</x:v>
      </x:c>
      <x:c r="M18" s="1" t="s">
        <x:v>20</x:v>
      </x:c>
      <x:c r="N18" s="1" t="s">
        <x:v>94</x:v>
      </x:c>
    </x:row>
    <x:row r="19" ht="90" customHeight="1">
      <x:c r="A19" t="s">
        <x:v>95</x:v>
      </x:c>
      <x:c r="B19" s="1" t="s">
        <x:v>96</x:v>
      </x:c>
      <x:c r="C19" s="1" t="s">
        <x:v>16</x:v>
      </x:c>
      <x:c r="D19" s="1" t="s">
        <x:v>17</x:v>
      </x:c>
      <x:c r="E19" s="1" t="s">
        <x:v>97</x:v>
      </x:c>
      <x:c r="F19" s="1" t="s">
        <x:v>19</x:v>
      </x:c>
      <x:c r="G19" s="1" t="s">
        <x:v>19</x:v>
      </x:c>
      <x:c r="H19" s="1" t="s">
        <x:v>19</x:v>
      </x:c>
      <x:c r="I19" s="1" t="s">
        <x:v>19</x:v>
      </x:c>
      <x:c r="J19" s="1" t="s">
        <x:v>19</x:v>
      </x:c>
      <x:c r="K19" s="1" t="s">
        <x:v>19</x:v>
      </x:c>
      <x:c r="L19" s="1" t="str">
        <x:f t="shared" si="0"/>
        <x:v>No</x:v>
      </x:c>
      <x:c r="M19" s="1" t="s">
        <x:v>20</x:v>
      </x:c>
      <x:c r="N19" s="1" t="s">
        <x:v>80</x:v>
      </x:c>
    </x:row>
    <x:row r="20" ht="90" customHeight="1">
      <x:c r="A20" t="s">
        <x:v>98</x:v>
      </x:c>
      <x:c r="B20" s="1" t="s">
        <x:v>99</x:v>
      </x:c>
      <x:c r="C20" s="1" t="s">
        <x:v>58</x:v>
      </x:c>
      <x:c r="D20" s="1" t="s">
        <x:v>100</x:v>
      </x:c>
      <x:c r="E20" s="1" t="s">
        <x:v>101</x:v>
      </x:c>
      <x:c r="F20" s="1" t="s">
        <x:v>19</x:v>
      </x:c>
      <x:c r="G20" s="1" t="s">
        <x:v>53</x:v>
      </x:c>
      <x:c r="H20" s="1" t="s">
        <x:v>27</x:v>
      </x:c>
      <x:c r="I20" s="1" t="s">
        <x:v>27</x:v>
      </x:c>
      <x:c r="J20" s="1" t="s">
        <x:v>19</x:v>
      </x:c>
      <x:c r="K20" s="1" t="s">
        <x:v>53</x:v>
      </x:c>
      <x:c r="L20" s="1" t="str">
        <x:f t="shared" si="0"/>
        <x:v>No</x:v>
      </x:c>
      <x:c r="M20" s="1" t="s">
        <x:v>102</x:v>
      </x:c>
      <x:c r="N20" s="1" t="s">
        <x:v>103</x:v>
      </x:c>
    </x:row>
    <x:row r="21" ht="90" customHeight="1">
      <x:c r="A21" t="s">
        <x:v>104</x:v>
      </x:c>
      <x:c r="B21" s="1" t="s">
        <x:v>105</x:v>
      </x:c>
      <x:c r="C21" s="1" t="s">
        <x:v>58</x:v>
      </x:c>
      <x:c r="D21" s="1" t="s">
        <x:v>59</x:v>
      </x:c>
      <x:c r="E21" s="1" t="s">
        <x:v>106</x:v>
      </x:c>
      <x:c r="F21" s="1" t="s">
        <x:v>27</x:v>
      </x:c>
      <x:c r="G21" s="1" t="s">
        <x:v>53</x:v>
      </x:c>
      <x:c r="H21" s="1" t="s">
        <x:v>27</x:v>
      </x:c>
      <x:c r="I21" s="1" t="s">
        <x:v>27</x:v>
      </x:c>
      <x:c r="J21" s="1" t="s">
        <x:v>27</x:v>
      </x:c>
      <x:c r="K21" s="1" t="s">
        <x:v>53</x:v>
      </x:c>
      <x:c r="L21" s="1" t="str">
        <x:f t="shared" si="0"/>
        <x:v>Borderline</x:v>
      </x:c>
      <x:c r="M21" s="1" t="s">
        <x:v>61</x:v>
      </x:c>
      <x:c r="N21" s="1" t="s">
        <x:v>107</x:v>
      </x:c>
    </x:row>
    <x:row r="22" ht="90" customHeight="1">
      <x:c r="A22" t="s">
        <x:v>108</x:v>
      </x:c>
      <x:c r="B22" s="1" t="s">
        <x:v>109</x:v>
      </x:c>
      <x:c r="C22" s="1" t="s">
        <x:v>110</x:v>
      </x:c>
      <x:c r="D22" s="1" t="s">
        <x:v>111</x:v>
      </x:c>
      <x:c r="E22" s="1" t="s">
        <x:v>112</x:v>
      </x:c>
      <x:c r="F22" s="1" t="s">
        <x:v>27</x:v>
      </x:c>
      <x:c r="G22" s="1" t="s">
        <x:v>27</x:v>
      </x:c>
      <x:c r="H22" s="1" t="s">
        <x:v>27</x:v>
      </x:c>
      <x:c r="I22" s="1" t="s">
        <x:v>27</x:v>
      </x:c>
      <x:c r="J22" s="1" t="s">
        <x:v>27</x:v>
      </x:c>
      <x:c r="K22" s="1" t="s">
        <x:v>27</x:v>
      </x:c>
      <x:c r="L22" s="1" t="str">
        <x:f t="shared" si="0"/>
        <x:v>Yes</x:v>
      </x:c>
      <x:c r="N22" s="1" t="s">
        <x:v>28</x:v>
      </x:c>
    </x:row>
    <x:row r="23" ht="90" customHeight="1">
      <x:c r="A23" t="s">
        <x:v>113</x:v>
      </x:c>
      <x:c r="B23" s="1" t="s">
        <x:v>114</x:v>
      </x:c>
      <x:c r="C23" s="1" t="s">
        <x:v>16</x:v>
      </x:c>
      <x:c r="D23" s="1" t="s">
        <x:v>17</x:v>
      </x:c>
      <x:c r="E23" s="1" t="s">
        <x:v>115</x:v>
      </x:c>
      <x:c r="F23" s="1" t="s">
        <x:v>19</x:v>
      </x:c>
      <x:c r="G23" s="1" t="s">
        <x:v>19</x:v>
      </x:c>
      <x:c r="H23" s="1" t="s">
        <x:v>19</x:v>
      </x:c>
      <x:c r="I23" s="1" t="s">
        <x:v>19</x:v>
      </x:c>
      <x:c r="J23" s="1" t="s">
        <x:v>19</x:v>
      </x:c>
      <x:c r="K23" s="1" t="s">
        <x:v>19</x:v>
      </x:c>
      <x:c r="L23" s="1" t="str">
        <x:f t="shared" si="0"/>
        <x:v>No</x:v>
      </x:c>
      <x:c r="M23" s="1" t="s">
        <x:v>20</x:v>
      </x:c>
      <x:c r="N23" s="1" t="s">
        <x:v>80</x:v>
      </x:c>
    </x:row>
    <x:row r="24" ht="90" customHeight="1">
      <x:c r="A24" t="s">
        <x:v>116</x:v>
      </x:c>
      <x:c r="B24" s="1" t="s">
        <x:v>117</x:v>
      </x:c>
      <x:c r="C24" s="1" t="s">
        <x:v>50</x:v>
      </x:c>
      <x:c r="D24" s="1" t="s">
        <x:v>51</x:v>
      </x:c>
      <x:c r="E24" s="1" t="s">
        <x:v>118</x:v>
      </x:c>
      <x:c r="F24" s="1" t="s">
        <x:v>27</x:v>
      </x:c>
      <x:c r="G24" s="1" t="s">
        <x:v>27</x:v>
      </x:c>
      <x:c r="H24" s="1" t="s">
        <x:v>27</x:v>
      </x:c>
      <x:c r="I24" s="1" t="s">
        <x:v>27</x:v>
      </x:c>
      <x:c r="J24" s="1" t="s">
        <x:v>27</x:v>
      </x:c>
      <x:c r="K24" s="1" t="s">
        <x:v>53</x:v>
      </x:c>
      <x:c r="L24" s="1" t="str">
        <x:f t="shared" si="0"/>
        <x:v>Borderline</x:v>
      </x:c>
      <x:c r="M24" s="1" t="s">
        <x:v>54</x:v>
      </x:c>
      <x:c r="N24" s="1" t="s">
        <x:v>55</x:v>
      </x:c>
    </x:row>
    <x:row r="25" ht="90" customHeight="1">
      <x:c r="A25" t="s">
        <x:v>119</x:v>
      </x:c>
      <x:c r="B25" s="1" t="s">
        <x:v>120</x:v>
      </x:c>
      <x:c r="C25" s="1" t="s">
        <x:v>24</x:v>
      </x:c>
      <x:c r="D25" s="1" t="s">
        <x:v>121</x:v>
      </x:c>
      <x:c r="E25" s="1" t="s">
        <x:v>122</x:v>
      </x:c>
      <x:c r="F25" s="1" t="s">
        <x:v>19</x:v>
      </x:c>
      <x:c r="G25" s="1" t="s">
        <x:v>27</x:v>
      </x:c>
      <x:c r="H25" s="1" t="s">
        <x:v>27</x:v>
      </x:c>
      <x:c r="I25" s="1" t="s">
        <x:v>27</x:v>
      </x:c>
      <x:c r="J25" s="1" t="s">
        <x:v>19</x:v>
      </x:c>
      <x:c r="K25" s="1" t="s">
        <x:v>53</x:v>
      </x:c>
      <x:c r="L25" s="1" t="str">
        <x:f t="shared" si="0"/>
        <x:v>No</x:v>
      </x:c>
      <x:c r="M25" s="1" t="s">
        <x:v>123</x:v>
      </x:c>
      <x:c r="N25" s="1" t="s">
        <x:v>124</x:v>
      </x:c>
    </x:row>
    <x:row r="26" ht="90" customHeight="1">
      <x:c r="A26" t="s">
        <x:v>125</x:v>
      </x:c>
      <x:c r="B26" s="1" t="s">
        <x:v>126</x:v>
      </x:c>
      <x:c r="C26" s="1" t="s">
        <x:v>31</x:v>
      </x:c>
      <x:c r="D26" s="1" t="s">
        <x:v>32</x:v>
      </x:c>
      <x:c r="E26" s="1" t="s">
        <x:v>127</x:v>
      </x:c>
      <x:c r="F26" s="1" t="s">
        <x:v>19</x:v>
      </x:c>
      <x:c r="G26" s="1" t="s">
        <x:v>19</x:v>
      </x:c>
      <x:c r="H26" s="1" t="s">
        <x:v>19</x:v>
      </x:c>
      <x:c r="I26" s="1" t="s">
        <x:v>19</x:v>
      </x:c>
      <x:c r="J26" s="1" t="s">
        <x:v>19</x:v>
      </x:c>
      <x:c r="K26" s="1" t="s">
        <x:v>19</x:v>
      </x:c>
      <x:c r="L26" s="1" t="str">
        <x:f t="shared" si="0"/>
        <x:v>No</x:v>
      </x:c>
      <x:c r="M26" s="1" t="s">
        <x:v>20</x:v>
      </x:c>
      <x:c r="N26" s="1" t="s">
        <x:v>21</x:v>
      </x:c>
    </x:row>
    <x:row r="27" ht="90" customHeight="1">
      <x:c r="A27" t="s">
        <x:v>128</x:v>
      </x:c>
      <x:c r="B27" s="1" t="s">
        <x:v>129</x:v>
      </x:c>
      <x:c r="C27" s="1" t="s">
        <x:v>31</x:v>
      </x:c>
      <x:c r="D27" s="1" t="s">
        <x:v>32</x:v>
      </x:c>
      <x:c r="E27" s="1" t="s">
        <x:v>130</x:v>
      </x:c>
      <x:c r="F27" s="1" t="s">
        <x:v>19</x:v>
      </x:c>
      <x:c r="G27" s="1" t="s">
        <x:v>19</x:v>
      </x:c>
      <x:c r="H27" s="1" t="s">
        <x:v>19</x:v>
      </x:c>
      <x:c r="I27" s="1" t="s">
        <x:v>19</x:v>
      </x:c>
      <x:c r="J27" s="1" t="s">
        <x:v>19</x:v>
      </x:c>
      <x:c r="K27" s="1" t="s">
        <x:v>19</x:v>
      </x:c>
      <x:c r="L27" s="1" t="str">
        <x:f t="shared" si="0"/>
        <x:v>No</x:v>
      </x:c>
      <x:c r="M27" s="1" t="s">
        <x:v>20</x:v>
      </x:c>
      <x:c r="N27" s="1" t="s">
        <x:v>21</x:v>
      </x:c>
    </x:row>
    <x:row r="28" ht="90" customHeight="1">
      <x:c r="A28" t="s">
        <x:v>131</x:v>
      </x:c>
      <x:c r="B28" s="1" t="s">
        <x:v>132</x:v>
      </x:c>
      <x:c r="C28" s="1" t="s">
        <x:v>31</x:v>
      </x:c>
      <x:c r="D28" s="1" t="s">
        <x:v>32</x:v>
      </x:c>
      <x:c r="E28" s="1" t="s">
        <x:v>133</x:v>
      </x:c>
      <x:c r="F28" s="1" t="s">
        <x:v>19</x:v>
      </x:c>
      <x:c r="G28" s="1" t="s">
        <x:v>19</x:v>
      </x:c>
      <x:c r="H28" s="1" t="s">
        <x:v>19</x:v>
      </x:c>
      <x:c r="I28" s="1" t="s">
        <x:v>19</x:v>
      </x:c>
      <x:c r="J28" s="1" t="s">
        <x:v>19</x:v>
      </x:c>
      <x:c r="K28" s="1" t="s">
        <x:v>19</x:v>
      </x:c>
      <x:c r="L28" s="1" t="str">
        <x:f t="shared" si="0"/>
        <x:v>No</x:v>
      </x:c>
      <x:c r="M28" s="1" t="s">
        <x:v>20</x:v>
      </x:c>
      <x:c r="N28" s="1" t="s">
        <x:v>134</x:v>
      </x:c>
    </x:row>
    <x:row r="29" ht="90" customHeight="1">
      <x:c r="A29" t="s">
        <x:v>135</x:v>
      </x:c>
      <x:c r="B29" s="1" t="s">
        <x:v>136</x:v>
      </x:c>
      <x:c r="C29" s="1" t="s">
        <x:v>31</x:v>
      </x:c>
      <x:c r="D29" s="1" t="s">
        <x:v>32</x:v>
      </x:c>
      <x:c r="E29" s="1" t="s">
        <x:v>137</x:v>
      </x:c>
      <x:c r="F29" s="1" t="s">
        <x:v>19</x:v>
      </x:c>
      <x:c r="G29" s="1" t="s">
        <x:v>19</x:v>
      </x:c>
      <x:c r="H29" s="1" t="s">
        <x:v>19</x:v>
      </x:c>
      <x:c r="I29" s="1" t="s">
        <x:v>19</x:v>
      </x:c>
      <x:c r="J29" s="1" t="s">
        <x:v>19</x:v>
      </x:c>
      <x:c r="K29" s="1" t="s">
        <x:v>19</x:v>
      </x:c>
      <x:c r="L29" s="1" t="str">
        <x:f t="shared" si="0"/>
        <x:v>No</x:v>
      </x:c>
      <x:c r="M29" s="1" t="s">
        <x:v>20</x:v>
      </x:c>
      <x:c r="N29" s="1" t="s">
        <x:v>138</x:v>
      </x:c>
    </x:row>
    <x:row r="30" ht="90" customHeight="1">
      <x:c r="A30" t="s">
        <x:v>139</x:v>
      </x:c>
      <x:c r="B30" s="1" t="s">
        <x:v>140</x:v>
      </x:c>
      <x:c r="C30" s="1" t="s">
        <x:v>16</x:v>
      </x:c>
      <x:c r="D30" s="1" t="s">
        <x:v>141</x:v>
      </x:c>
      <x:c r="E30" s="1" t="s">
        <x:v>142</x:v>
      </x:c>
      <x:c r="F30" s="1" t="s">
        <x:v>27</x:v>
      </x:c>
      <x:c r="G30" s="1" t="s">
        <x:v>27</x:v>
      </x:c>
      <x:c r="H30" s="1" t="s">
        <x:v>27</x:v>
      </x:c>
      <x:c r="I30" s="1" t="s">
        <x:v>27</x:v>
      </x:c>
      <x:c r="J30" s="1" t="s">
        <x:v>27</x:v>
      </x:c>
      <x:c r="K30" s="1" t="s">
        <x:v>27</x:v>
      </x:c>
      <x:c r="L30" s="1" t="str">
        <x:f t="shared" si="0"/>
        <x:v>Yes</x:v>
      </x:c>
      <x:c r="N30" s="1" t="s">
        <x:v>28</x:v>
      </x:c>
    </x:row>
    <x:row r="31" ht="90" customHeight="1">
      <x:c r="A31" t="s">
        <x:v>143</x:v>
      </x:c>
      <x:c r="B31" s="1" t="s">
        <x:v>144</x:v>
      </x:c>
      <x:c r="C31" s="1" t="s">
        <x:v>58</x:v>
      </x:c>
      <x:c r="D31" s="1" t="s">
        <x:v>100</x:v>
      </x:c>
      <x:c r="E31" s="1" t="s">
        <x:v>145</x:v>
      </x:c>
      <x:c r="F31" s="1" t="s">
        <x:v>19</x:v>
      </x:c>
      <x:c r="G31" s="1" t="s">
        <x:v>53</x:v>
      </x:c>
      <x:c r="H31" s="1" t="s">
        <x:v>27</x:v>
      </x:c>
      <x:c r="I31" s="1" t="s">
        <x:v>27</x:v>
      </x:c>
      <x:c r="J31" s="1" t="s">
        <x:v>19</x:v>
      </x:c>
      <x:c r="K31" s="1" t="s">
        <x:v>53</x:v>
      </x:c>
      <x:c r="L31" s="1" t="str">
        <x:f t="shared" si="0"/>
        <x:v>No</x:v>
      </x:c>
      <x:c r="M31" s="1" t="s">
        <x:v>102</x:v>
      </x:c>
      <x:c r="N31" s="1" t="s">
        <x:v>146</x:v>
      </x:c>
    </x:row>
    <x:row r="32" ht="90" customHeight="1">
      <x:c r="A32" t="s">
        <x:v>147</x:v>
      </x:c>
      <x:c r="B32" s="1" t="s">
        <x:v>148</x:v>
      </x:c>
      <x:c r="C32" s="1" t="s">
        <x:v>16</x:v>
      </x:c>
      <x:c r="D32" s="1" t="s">
        <x:v>17</x:v>
      </x:c>
      <x:c r="E32" s="1" t="s">
        <x:v>149</x:v>
      </x:c>
      <x:c r="F32" s="1" t="s">
        <x:v>19</x:v>
      </x:c>
      <x:c r="G32" s="1" t="s">
        <x:v>19</x:v>
      </x:c>
      <x:c r="H32" s="1" t="s">
        <x:v>19</x:v>
      </x:c>
      <x:c r="I32" s="1" t="s">
        <x:v>19</x:v>
      </x:c>
      <x:c r="J32" s="1" t="s">
        <x:v>19</x:v>
      </x:c>
      <x:c r="K32" s="1" t="s">
        <x:v>19</x:v>
      </x:c>
      <x:c r="L32" s="1" t="str">
        <x:f t="shared" si="0"/>
        <x:v>No</x:v>
      </x:c>
      <x:c r="M32" s="1" t="s">
        <x:v>20</x:v>
      </x:c>
      <x:c r="N32" s="1" t="s">
        <x:v>34</x:v>
      </x:c>
    </x:row>
    <x:row r="33" ht="90" customHeight="1">
      <x:c r="A33" t="s">
        <x:v>150</x:v>
      </x:c>
      <x:c r="B33" s="1" t="s">
        <x:v>151</x:v>
      </x:c>
      <x:c r="C33" s="1" t="s">
        <x:v>50</x:v>
      </x:c>
      <x:c r="D33" s="1" t="s">
        <x:v>51</x:v>
      </x:c>
      <x:c r="E33" s="1" t="s">
        <x:v>152</x:v>
      </x:c>
      <x:c r="F33" s="1" t="s">
        <x:v>27</x:v>
      </x:c>
      <x:c r="G33" s="1" t="s">
        <x:v>27</x:v>
      </x:c>
      <x:c r="H33" s="1" t="s">
        <x:v>27</x:v>
      </x:c>
      <x:c r="I33" s="1" t="s">
        <x:v>27</x:v>
      </x:c>
      <x:c r="J33" s="1" t="s">
        <x:v>27</x:v>
      </x:c>
      <x:c r="K33" s="1" t="s">
        <x:v>53</x:v>
      </x:c>
      <x:c r="L33" s="1" t="str">
        <x:f t="shared" si="0"/>
        <x:v>Borderline</x:v>
      </x:c>
      <x:c r="M33" s="1" t="s">
        <x:v>54</x:v>
      </x:c>
      <x:c r="N33" s="1" t="s">
        <x:v>55</x:v>
      </x:c>
    </x:row>
    <x:row r="34" ht="90" customHeight="1">
      <x:c r="A34" t="s">
        <x:v>153</x:v>
      </x:c>
      <x:c r="B34" s="1" t="s">
        <x:v>154</x:v>
      </x:c>
      <x:c r="C34" s="1" t="s">
        <x:v>16</x:v>
      </x:c>
      <x:c r="D34" s="1" t="s">
        <x:v>141</x:v>
      </x:c>
      <x:c r="E34" s="1" t="s">
        <x:v>155</x:v>
      </x:c>
      <x:c r="F34" s="1" t="s">
        <x:v>27</x:v>
      </x:c>
      <x:c r="G34" s="1" t="s">
        <x:v>27</x:v>
      </x:c>
      <x:c r="H34" s="1" t="s">
        <x:v>27</x:v>
      </x:c>
      <x:c r="I34" s="1" t="s">
        <x:v>27</x:v>
      </x:c>
      <x:c r="J34" s="1" t="s">
        <x:v>27</x:v>
      </x:c>
      <x:c r="K34" s="1" t="s">
        <x:v>27</x:v>
      </x:c>
      <x:c r="L34" s="1" t="str">
        <x:f t="shared" si="0"/>
        <x:v>Yes</x:v>
      </x:c>
      <x:c r="N34" s="1" t="s">
        <x:v>28</x:v>
      </x:c>
    </x:row>
    <x:row r="35" ht="90" customHeight="1">
      <x:c r="A35" t="s">
        <x:v>156</x:v>
      </x:c>
      <x:c r="B35" s="1" t="s">
        <x:v>157</x:v>
      </x:c>
      <x:c r="C35" s="1" t="s">
        <x:v>31</x:v>
      </x:c>
      <x:c r="D35" s="1" t="s">
        <x:v>32</x:v>
      </x:c>
      <x:c r="E35" s="1" t="s">
        <x:v>158</x:v>
      </x:c>
      <x:c r="F35" s="1" t="s">
        <x:v>19</x:v>
      </x:c>
      <x:c r="G35" s="1" t="s">
        <x:v>19</x:v>
      </x:c>
      <x:c r="H35" s="1" t="s">
        <x:v>19</x:v>
      </x:c>
      <x:c r="I35" s="1" t="s">
        <x:v>19</x:v>
      </x:c>
      <x:c r="J35" s="1" t="s">
        <x:v>19</x:v>
      </x:c>
      <x:c r="K35" s="1" t="s">
        <x:v>19</x:v>
      </x:c>
      <x:c r="L35" s="1" t="str">
        <x:f t="shared" si="0"/>
        <x:v>No</x:v>
      </x:c>
      <x:c r="M35" s="1" t="s">
        <x:v>20</x:v>
      </x:c>
      <x:c r="N35" s="1" t="s">
        <x:v>94</x:v>
      </x:c>
    </x:row>
    <x:row r="36" ht="90" customHeight="1">
      <x:c r="A36" t="s">
        <x:v>159</x:v>
      </x:c>
      <x:c r="B36" s="1" t="s">
        <x:v>160</x:v>
      </x:c>
      <x:c r="C36" s="1" t="s">
        <x:v>31</x:v>
      </x:c>
      <x:c r="D36" s="1" t="s">
        <x:v>161</x:v>
      </x:c>
      <x:c r="E36" s="1" t="s">
        <x:v>162</x:v>
      </x:c>
      <x:c r="F36" s="1" t="s">
        <x:v>27</x:v>
      </x:c>
      <x:c r="G36" s="1" t="s">
        <x:v>27</x:v>
      </x:c>
      <x:c r="H36" s="1" t="s">
        <x:v>27</x:v>
      </x:c>
      <x:c r="I36" s="1" t="s">
        <x:v>27</x:v>
      </x:c>
      <x:c r="J36" s="1" t="s">
        <x:v>27</x:v>
      </x:c>
      <x:c r="K36" s="1" t="s">
        <x:v>27</x:v>
      </x:c>
      <x:c r="L36" s="1" t="str">
        <x:f t="shared" si="0"/>
        <x:v>Yes</x:v>
      </x:c>
      <x:c r="N36" s="1" t="s">
        <x:v>28</x:v>
      </x:c>
    </x:row>
    <x:row r="37" ht="90" customHeight="1">
      <x:c r="A37" t="s">
        <x:v>163</x:v>
      </x:c>
      <x:c r="B37" s="1" t="s">
        <x:v>164</x:v>
      </x:c>
      <x:c r="C37" s="1" t="s">
        <x:v>31</x:v>
      </x:c>
      <x:c r="D37" s="1" t="s">
        <x:v>32</x:v>
      </x:c>
      <x:c r="E37" s="1" t="s">
        <x:v>165</x:v>
      </x:c>
      <x:c r="F37" s="1" t="s">
        <x:v>19</x:v>
      </x:c>
      <x:c r="G37" s="1" t="s">
        <x:v>19</x:v>
      </x:c>
      <x:c r="H37" s="1" t="s">
        <x:v>19</x:v>
      </x:c>
      <x:c r="I37" s="1" t="s">
        <x:v>19</x:v>
      </x:c>
      <x:c r="J37" s="1" t="s">
        <x:v>19</x:v>
      </x:c>
      <x:c r="K37" s="1" t="s">
        <x:v>19</x:v>
      </x:c>
      <x:c r="L37" s="1" t="str">
        <x:f t="shared" si="0"/>
        <x:v>No</x:v>
      </x:c>
      <x:c r="M37" s="1" t="s">
        <x:v>20</x:v>
      </x:c>
      <x:c r="N37" s="1" t="s">
        <x:v>94</x:v>
      </x:c>
    </x:row>
    <x:row r="38" ht="90" customHeight="1">
      <x:c r="A38" t="s">
        <x:v>166</x:v>
      </x:c>
      <x:c r="B38" s="1" t="s">
        <x:v>167</x:v>
      </x:c>
      <x:c r="C38" s="1" t="s">
        <x:v>58</x:v>
      </x:c>
      <x:c r="D38" s="1" t="s">
        <x:v>100</x:v>
      </x:c>
      <x:c r="E38" s="1" t="s">
        <x:v>168</x:v>
      </x:c>
      <x:c r="F38" s="1" t="s">
        <x:v>19</x:v>
      </x:c>
      <x:c r="G38" s="1" t="s">
        <x:v>53</x:v>
      </x:c>
      <x:c r="H38" s="1" t="s">
        <x:v>27</x:v>
      </x:c>
      <x:c r="I38" s="1" t="s">
        <x:v>27</x:v>
      </x:c>
      <x:c r="J38" s="1" t="s">
        <x:v>19</x:v>
      </x:c>
      <x:c r="K38" s="1" t="s">
        <x:v>53</x:v>
      </x:c>
      <x:c r="L38" s="1" t="str">
        <x:f t="shared" si="0"/>
        <x:v>No</x:v>
      </x:c>
      <x:c r="M38" s="1" t="s">
        <x:v>102</x:v>
      </x:c>
      <x:c r="N38" s="1" t="s">
        <x:v>169</x:v>
      </x:c>
    </x:row>
    <x:row r="39" ht="90" customHeight="1">
      <x:c r="A39" t="s">
        <x:v>170</x:v>
      </x:c>
      <x:c r="B39" s="1" t="s">
        <x:v>171</x:v>
      </x:c>
      <x:c r="C39" s="1" t="s">
        <x:v>110</x:v>
      </x:c>
      <x:c r="D39" s="1" t="s">
        <x:v>111</x:v>
      </x:c>
      <x:c r="E39" s="1" t="s">
        <x:v>172</x:v>
      </x:c>
      <x:c r="F39" s="1" t="s">
        <x:v>27</x:v>
      </x:c>
      <x:c r="G39" s="1" t="s">
        <x:v>27</x:v>
      </x:c>
      <x:c r="H39" s="1" t="s">
        <x:v>27</x:v>
      </x:c>
      <x:c r="I39" s="1" t="s">
        <x:v>27</x:v>
      </x:c>
      <x:c r="J39" s="1" t="s">
        <x:v>27</x:v>
      </x:c>
      <x:c r="K39" s="1" t="s">
        <x:v>27</x:v>
      </x:c>
      <x:c r="L39" s="1" t="str">
        <x:f t="shared" si="0"/>
        <x:v>Yes</x:v>
      </x:c>
      <x:c r="N39" s="1" t="s">
        <x:v>28</x:v>
      </x:c>
    </x:row>
    <x:row r="40" ht="90" customHeight="1">
      <x:c r="A40" t="s">
        <x:v>173</x:v>
      </x:c>
      <x:c r="B40" s="1" t="s">
        <x:v>174</x:v>
      </x:c>
      <x:c r="C40" s="1" t="s">
        <x:v>16</x:v>
      </x:c>
      <x:c r="D40" s="1" t="s">
        <x:v>17</x:v>
      </x:c>
      <x:c r="E40" s="1" t="s">
        <x:v>175</x:v>
      </x:c>
      <x:c r="F40" s="1" t="s">
        <x:v>19</x:v>
      </x:c>
      <x:c r="G40" s="1" t="s">
        <x:v>19</x:v>
      </x:c>
      <x:c r="H40" s="1" t="s">
        <x:v>19</x:v>
      </x:c>
      <x:c r="I40" s="1" t="s">
        <x:v>19</x:v>
      </x:c>
      <x:c r="J40" s="1" t="s">
        <x:v>19</x:v>
      </x:c>
      <x:c r="K40" s="1" t="s">
        <x:v>19</x:v>
      </x:c>
      <x:c r="L40" s="1" t="str">
        <x:f t="shared" si="0"/>
        <x:v>No</x:v>
      </x:c>
      <x:c r="M40" s="1" t="s">
        <x:v>20</x:v>
      </x:c>
      <x:c r="N40" s="1" t="s">
        <x:v>94</x:v>
      </x:c>
    </x:row>
    <x:row r="41" ht="90" customHeight="1">
      <x:c r="A41" t="s">
        <x:v>176</x:v>
      </x:c>
      <x:c r="B41" s="1" t="s">
        <x:v>177</x:v>
      </x:c>
      <x:c r="C41" s="1" t="s">
        <x:v>58</x:v>
      </x:c>
      <x:c r="D41" s="1" t="s">
        <x:v>59</x:v>
      </x:c>
      <x:c r="E41" s="1" t="s">
        <x:v>178</x:v>
      </x:c>
      <x:c r="F41" s="1" t="s">
        <x:v>27</x:v>
      </x:c>
      <x:c r="G41" s="1" t="s">
        <x:v>53</x:v>
      </x:c>
      <x:c r="H41" s="1" t="s">
        <x:v>27</x:v>
      </x:c>
      <x:c r="I41" s="1" t="s">
        <x:v>27</x:v>
      </x:c>
      <x:c r="J41" s="1" t="s">
        <x:v>27</x:v>
      </x:c>
      <x:c r="K41" s="1" t="s">
        <x:v>53</x:v>
      </x:c>
      <x:c r="L41" s="1" t="str">
        <x:f t="shared" si="0"/>
        <x:v>Borderline</x:v>
      </x:c>
      <x:c r="M41" s="1" t="s">
        <x:v>61</x:v>
      </x:c>
      <x:c r="N41" s="1" t="s">
        <x:v>62</x:v>
      </x:c>
    </x:row>
    <x:row r="42" ht="90" customHeight="1">
      <x:c r="A42" t="s">
        <x:v>179</x:v>
      </x:c>
      <x:c r="B42" s="1" t="s">
        <x:v>180</x:v>
      </x:c>
      <x:c r="C42" s="1" t="s">
        <x:v>181</x:v>
      </x:c>
      <x:c r="D42" s="1" t="s">
        <x:v>121</x:v>
      </x:c>
      <x:c r="E42" s="1" t="s">
        <x:v>182</x:v>
      </x:c>
      <x:c r="F42" s="1" t="s">
        <x:v>27</x:v>
      </x:c>
      <x:c r="G42" s="1" t="s">
        <x:v>27</x:v>
      </x:c>
      <x:c r="H42" s="1" t="s">
        <x:v>27</x:v>
      </x:c>
      <x:c r="I42" s="1" t="s">
        <x:v>27</x:v>
      </x:c>
      <x:c r="J42" s="1" t="s">
        <x:v>27</x:v>
      </x:c>
      <x:c r="K42" s="1" t="s">
        <x:v>53</x:v>
      </x:c>
      <x:c r="L42" s="1" t="str">
        <x:f t="shared" si="0"/>
        <x:v>Borderline</x:v>
      </x:c>
      <x:c r="M42" s="1" t="s">
        <x:v>54</x:v>
      </x:c>
      <x:c r="N42" s="1" t="s">
        <x:v>55</x:v>
      </x:c>
    </x:row>
    <x:row r="43" ht="90" customHeight="1">
      <x:c r="A43" t="s">
        <x:v>183</x:v>
      </x:c>
      <x:c r="B43" s="1" t="s">
        <x:v>184</x:v>
      </x:c>
      <x:c r="C43" s="1" t="s">
        <x:v>24</x:v>
      </x:c>
      <x:c r="D43" s="1" t="s">
        <x:v>25</x:v>
      </x:c>
      <x:c r="E43" s="1" t="s">
        <x:v>185</x:v>
      </x:c>
      <x:c r="F43" s="1" t="s">
        <x:v>27</x:v>
      </x:c>
      <x:c r="G43" s="1" t="s">
        <x:v>27</x:v>
      </x:c>
      <x:c r="H43" s="1" t="s">
        <x:v>27</x:v>
      </x:c>
      <x:c r="I43" s="1" t="s">
        <x:v>27</x:v>
      </x:c>
      <x:c r="J43" s="1" t="s">
        <x:v>27</x:v>
      </x:c>
      <x:c r="K43" s="1" t="s">
        <x:v>27</x:v>
      </x:c>
      <x:c r="L43" s="1" t="str">
        <x:f t="shared" si="0"/>
        <x:v>Yes</x:v>
      </x:c>
      <x:c r="N43" s="1" t="s">
        <x:v>28</x:v>
      </x:c>
    </x:row>
    <x:row r="44" ht="90" customHeight="1">
      <x:c r="A44" t="s">
        <x:v>186</x:v>
      </x:c>
      <x:c r="B44" s="1" t="s">
        <x:v>187</x:v>
      </x:c>
      <x:c r="C44" s="1" t="s">
        <x:v>16</x:v>
      </x:c>
      <x:c r="D44" s="1" t="s">
        <x:v>17</x:v>
      </x:c>
      <x:c r="E44" s="1" t="s">
        <x:v>188</x:v>
      </x:c>
      <x:c r="F44" s="1" t="s">
        <x:v>19</x:v>
      </x:c>
      <x:c r="G44" s="1" t="s">
        <x:v>19</x:v>
      </x:c>
      <x:c r="H44" s="1" t="s">
        <x:v>19</x:v>
      </x:c>
      <x:c r="I44" s="1" t="s">
        <x:v>19</x:v>
      </x:c>
      <x:c r="J44" s="1" t="s">
        <x:v>19</x:v>
      </x:c>
      <x:c r="K44" s="1" t="s">
        <x:v>19</x:v>
      </x:c>
      <x:c r="L44" s="1" t="str">
        <x:f t="shared" si="0"/>
        <x:v>No</x:v>
      </x:c>
      <x:c r="M44" s="1" t="s">
        <x:v>20</x:v>
      </x:c>
      <x:c r="N44" s="1" t="s">
        <x:v>34</x:v>
      </x:c>
    </x:row>
    <x:row r="45" ht="90" customHeight="1">
      <x:c r="A45" t="s">
        <x:v>189</x:v>
      </x:c>
      <x:c r="B45" s="1" t="s">
        <x:v>190</x:v>
      </x:c>
      <x:c r="C45" s="1" t="s">
        <x:v>58</x:v>
      </x:c>
      <x:c r="D45" s="1" t="s">
        <x:v>59</x:v>
      </x:c>
      <x:c r="E45" s="1" t="s">
        <x:v>191</x:v>
      </x:c>
      <x:c r="F45" s="1" t="s">
        <x:v>27</x:v>
      </x:c>
      <x:c r="G45" s="1" t="s">
        <x:v>53</x:v>
      </x:c>
      <x:c r="H45" s="1" t="s">
        <x:v>27</x:v>
      </x:c>
      <x:c r="I45" s="1" t="s">
        <x:v>27</x:v>
      </x:c>
      <x:c r="J45" s="1" t="s">
        <x:v>27</x:v>
      </x:c>
      <x:c r="K45" s="1" t="s">
        <x:v>53</x:v>
      </x:c>
      <x:c r="L45" s="1" t="str">
        <x:f t="shared" si="0"/>
        <x:v>Borderline</x:v>
      </x:c>
      <x:c r="M45" s="1" t="s">
        <x:v>61</x:v>
      </x:c>
      <x:c r="N45" s="1" t="s">
        <x:v>192</x:v>
      </x:c>
    </x:row>
    <x:row r="46" ht="90" customHeight="1">
      <x:c r="A46" t="s">
        <x:v>193</x:v>
      </x:c>
      <x:c r="B46" s="1" t="s">
        <x:v>194</x:v>
      </x:c>
      <x:c r="C46" s="1" t="s">
        <x:v>74</x:v>
      </x:c>
      <x:c r="D46" s="1" t="s">
        <x:v>75</x:v>
      </x:c>
      <x:c r="E46" s="1" t="s">
        <x:v>195</x:v>
      </x:c>
      <x:c r="F46" s="1" t="s">
        <x:v>27</x:v>
      </x:c>
      <x:c r="G46" s="1" t="s">
        <x:v>27</x:v>
      </x:c>
      <x:c r="H46" s="1" t="s">
        <x:v>27</x:v>
      </x:c>
      <x:c r="I46" s="1" t="s">
        <x:v>27</x:v>
      </x:c>
      <x:c r="J46" s="1" t="s">
        <x:v>27</x:v>
      </x:c>
      <x:c r="K46" s="1" t="s">
        <x:v>27</x:v>
      </x:c>
      <x:c r="L46" s="1" t="str">
        <x:f t="shared" si="0"/>
        <x:v>Yes</x:v>
      </x:c>
      <x:c r="N46" s="1" t="s">
        <x:v>28</x:v>
      </x:c>
    </x:row>
    <x:row r="47" ht="90" customHeight="1">
      <x:c r="A47" t="s">
        <x:v>196</x:v>
      </x:c>
      <x:c r="B47" s="1" t="s">
        <x:v>197</x:v>
      </x:c>
      <x:c r="C47" s="1" t="s">
        <x:v>181</x:v>
      </x:c>
      <x:c r="D47" s="1" t="s">
        <x:v>121</x:v>
      </x:c>
      <x:c r="E47" s="1" t="s">
        <x:v>198</x:v>
      </x:c>
      <x:c r="F47" s="1" t="s">
        <x:v>27</x:v>
      </x:c>
      <x:c r="G47" s="1" t="s">
        <x:v>27</x:v>
      </x:c>
      <x:c r="H47" s="1" t="s">
        <x:v>27</x:v>
      </x:c>
      <x:c r="I47" s="1" t="s">
        <x:v>27</x:v>
      </x:c>
      <x:c r="J47" s="1" t="s">
        <x:v>27</x:v>
      </x:c>
      <x:c r="K47" s="1" t="s">
        <x:v>53</x:v>
      </x:c>
      <x:c r="L47" s="1" t="str">
        <x:f t="shared" si="0"/>
        <x:v>Borderline</x:v>
      </x:c>
      <x:c r="M47" s="1" t="s">
        <x:v>54</x:v>
      </x:c>
      <x:c r="N47" s="1" t="s">
        <x:v>55</x:v>
      </x:c>
    </x:row>
    <x:row r="48" ht="90" customHeight="1">
      <x:c r="A48" t="s">
        <x:v>199</x:v>
      </x:c>
      <x:c r="B48" s="1" t="s">
        <x:v>200</x:v>
      </x:c>
      <x:c r="C48" s="1" t="s">
        <x:v>31</x:v>
      </x:c>
      <x:c r="D48" s="1" t="s">
        <x:v>161</x:v>
      </x:c>
      <x:c r="E48" s="1" t="s">
        <x:v>201</x:v>
      </x:c>
      <x:c r="F48" s="1" t="s">
        <x:v>27</x:v>
      </x:c>
      <x:c r="G48" s="1" t="s">
        <x:v>27</x:v>
      </x:c>
      <x:c r="H48" s="1" t="s">
        <x:v>27</x:v>
      </x:c>
      <x:c r="I48" s="1" t="s">
        <x:v>27</x:v>
      </x:c>
      <x:c r="J48" s="1" t="s">
        <x:v>27</x:v>
      </x:c>
      <x:c r="K48" s="1" t="s">
        <x:v>27</x:v>
      </x:c>
      <x:c r="L48" s="1" t="str">
        <x:f t="shared" si="0"/>
        <x:v>Yes</x:v>
      </x:c>
      <x:c r="N48" s="1" t="s">
        <x:v>28</x:v>
      </x:c>
    </x:row>
    <x:row r="49" ht="90" customHeight="1">
      <x:c r="A49" t="s">
        <x:v>202</x:v>
      </x:c>
      <x:c r="B49" s="1" t="s">
        <x:v>203</x:v>
      </x:c>
      <x:c r="C49" s="1" t="s">
        <x:v>58</x:v>
      </x:c>
      <x:c r="D49" s="1" t="s">
        <x:v>100</x:v>
      </x:c>
      <x:c r="E49" s="1" t="s">
        <x:v>204</x:v>
      </x:c>
      <x:c r="F49" s="1" t="s">
        <x:v>19</x:v>
      </x:c>
      <x:c r="G49" s="1" t="s">
        <x:v>53</x:v>
      </x:c>
      <x:c r="H49" s="1" t="s">
        <x:v>27</x:v>
      </x:c>
      <x:c r="I49" s="1" t="s">
        <x:v>27</x:v>
      </x:c>
      <x:c r="J49" s="1" t="s">
        <x:v>19</x:v>
      </x:c>
      <x:c r="K49" s="1" t="s">
        <x:v>53</x:v>
      </x:c>
      <x:c r="L49" s="1" t="str">
        <x:f t="shared" si="0"/>
        <x:v>No</x:v>
      </x:c>
      <x:c r="M49" s="1" t="s">
        <x:v>102</x:v>
      </x:c>
      <x:c r="N49" s="1" t="s">
        <x:v>169</x:v>
      </x:c>
    </x:row>
    <x:row r="50" ht="90" customHeight="1">
      <x:c r="A50" t="s">
        <x:v>205</x:v>
      </x:c>
      <x:c r="B50" s="1" t="s">
        <x:v>206</x:v>
      </x:c>
      <x:c r="C50" s="1" t="s">
        <x:v>65</x:v>
      </x:c>
      <x:c r="D50" s="1" t="s">
        <x:v>66</x:v>
      </x:c>
      <x:c r="E50" s="1" t="s">
        <x:v>207</x:v>
      </x:c>
      <x:c r="F50" s="1" t="s">
        <x:v>27</x:v>
      </x:c>
      <x:c r="G50" s="1" t="s">
        <x:v>27</x:v>
      </x:c>
      <x:c r="H50" s="1" t="s">
        <x:v>27</x:v>
      </x:c>
      <x:c r="I50" s="1" t="s">
        <x:v>27</x:v>
      </x:c>
      <x:c r="J50" s="1" t="s">
        <x:v>27</x:v>
      </x:c>
      <x:c r="K50" s="1" t="s">
        <x:v>27</x:v>
      </x:c>
      <x:c r="L50" s="1" t="str">
        <x:f t="shared" si="0"/>
        <x:v>Yes</x:v>
      </x:c>
      <x:c r="N50" s="1" t="s">
        <x:v>28</x:v>
      </x:c>
    </x:row>
    <x:row r="51" ht="90" customHeight="1">
      <x:c r="A51" t="s">
        <x:v>208</x:v>
      </x:c>
      <x:c r="B51" s="1" t="s">
        <x:v>209</x:v>
      </x:c>
      <x:c r="C51" s="1" t="s">
        <x:v>24</x:v>
      </x:c>
      <x:c r="D51" s="1" t="s">
        <x:v>121</x:v>
      </x:c>
      <x:c r="E51" s="1" t="s">
        <x:v>210</x:v>
      </x:c>
      <x:c r="F51" s="1" t="s">
        <x:v>19</x:v>
      </x:c>
      <x:c r="G51" s="1" t="s">
        <x:v>27</x:v>
      </x:c>
      <x:c r="H51" s="1" t="s">
        <x:v>27</x:v>
      </x:c>
      <x:c r="I51" s="1" t="s">
        <x:v>27</x:v>
      </x:c>
      <x:c r="J51" s="1" t="s">
        <x:v>19</x:v>
      </x:c>
      <x:c r="K51" s="1" t="s">
        <x:v>53</x:v>
      </x:c>
      <x:c r="L51" s="1" t="str">
        <x:f t="shared" si="0"/>
        <x:v>No</x:v>
      </x:c>
      <x:c r="M51" s="1" t="s">
        <x:v>123</x:v>
      </x:c>
      <x:c r="N51" s="1" t="s">
        <x:v>124</x:v>
      </x:c>
    </x:row>
    <x:row r="52" ht="90" customHeight="1">
      <x:c r="A52" t="s">
        <x:v>211</x:v>
      </x:c>
      <x:c r="B52" s="1" t="s">
        <x:v>212</x:v>
      </x:c>
      <x:c r="C52" s="1" t="s">
        <x:v>58</x:v>
      </x:c>
      <x:c r="D52" s="1" t="s">
        <x:v>59</x:v>
      </x:c>
      <x:c r="E52" s="1" t="s">
        <x:v>213</x:v>
      </x:c>
      <x:c r="F52" s="1" t="s">
        <x:v>27</x:v>
      </x:c>
      <x:c r="G52" s="1" t="s">
        <x:v>53</x:v>
      </x:c>
      <x:c r="H52" s="1" t="s">
        <x:v>27</x:v>
      </x:c>
      <x:c r="I52" s="1" t="s">
        <x:v>27</x:v>
      </x:c>
      <x:c r="J52" s="1" t="s">
        <x:v>27</x:v>
      </x:c>
      <x:c r="K52" s="1" t="s">
        <x:v>53</x:v>
      </x:c>
      <x:c r="L52" s="1" t="str">
        <x:f t="shared" si="0"/>
        <x:v>Borderline</x:v>
      </x:c>
      <x:c r="M52" s="1" t="s">
        <x:v>61</x:v>
      </x:c>
      <x:c r="N52" s="1" t="s">
        <x:v>214</x:v>
      </x:c>
    </x:row>
    <x:row r="53" ht="90" customHeight="1">
      <x:c r="A53" t="s">
        <x:v>215</x:v>
      </x:c>
      <x:c r="B53" s="1" t="s">
        <x:v>197</x:v>
      </x:c>
      <x:c r="C53" s="1" t="s">
        <x:v>24</x:v>
      </x:c>
      <x:c r="D53" s="1" t="s">
        <x:v>121</x:v>
      </x:c>
      <x:c r="E53" s="1" t="s">
        <x:v>198</x:v>
      </x:c>
      <x:c r="F53" s="1" t="s">
        <x:v>19</x:v>
      </x:c>
      <x:c r="G53" s="1" t="s">
        <x:v>27</x:v>
      </x:c>
      <x:c r="H53" s="1" t="s">
        <x:v>27</x:v>
      </x:c>
      <x:c r="I53" s="1" t="s">
        <x:v>27</x:v>
      </x:c>
      <x:c r="J53" s="1" t="s">
        <x:v>19</x:v>
      </x:c>
      <x:c r="K53" s="1" t="s">
        <x:v>53</x:v>
      </x:c>
      <x:c r="L53" s="1" t="str">
        <x:f t="shared" si="0"/>
        <x:v>No</x:v>
      </x:c>
      <x:c r="M53" s="1" t="s">
        <x:v>123</x:v>
      </x:c>
      <x:c r="N53" s="1" t="s">
        <x:v>124</x:v>
      </x:c>
    </x:row>
    <x:row r="54" ht="90" customHeight="1">
      <x:c r="A54" t="s">
        <x:v>216</x:v>
      </x:c>
      <x:c r="B54" s="1" t="s">
        <x:v>180</x:v>
      </x:c>
      <x:c r="C54" s="1" t="s">
        <x:v>24</x:v>
      </x:c>
      <x:c r="D54" s="1" t="s">
        <x:v>121</x:v>
      </x:c>
      <x:c r="E54" s="1" t="s">
        <x:v>182</x:v>
      </x:c>
      <x:c r="F54" s="1" t="s">
        <x:v>19</x:v>
      </x:c>
      <x:c r="G54" s="1" t="s">
        <x:v>27</x:v>
      </x:c>
      <x:c r="H54" s="1" t="s">
        <x:v>27</x:v>
      </x:c>
      <x:c r="I54" s="1" t="s">
        <x:v>27</x:v>
      </x:c>
      <x:c r="J54" s="1" t="s">
        <x:v>19</x:v>
      </x:c>
      <x:c r="K54" s="1" t="s">
        <x:v>53</x:v>
      </x:c>
      <x:c r="L54" s="1" t="str">
        <x:f t="shared" si="0"/>
        <x:v>No</x:v>
      </x:c>
      <x:c r="M54" s="1" t="s">
        <x:v>123</x:v>
      </x:c>
      <x:c r="N54" s="1" t="s">
        <x:v>124</x:v>
      </x:c>
    </x:row>
    <x:row r="55" ht="90" customHeight="1">
      <x:c r="A55" t="s">
        <x:v>217</x:v>
      </x:c>
      <x:c r="B55" s="1" t="s">
        <x:v>218</x:v>
      </x:c>
      <x:c r="C55" s="1" t="s">
        <x:v>31</x:v>
      </x:c>
      <x:c r="D55" s="1" t="s">
        <x:v>161</x:v>
      </x:c>
      <x:c r="E55" s="1" t="s">
        <x:v>219</x:v>
      </x:c>
      <x:c r="F55" s="1" t="s">
        <x:v>27</x:v>
      </x:c>
      <x:c r="G55" s="1" t="s">
        <x:v>27</x:v>
      </x:c>
      <x:c r="H55" s="1" t="s">
        <x:v>27</x:v>
      </x:c>
      <x:c r="I55" s="1" t="s">
        <x:v>27</x:v>
      </x:c>
      <x:c r="J55" s="1" t="s">
        <x:v>27</x:v>
      </x:c>
      <x:c r="K55" s="1" t="s">
        <x:v>27</x:v>
      </x:c>
      <x:c r="L55" s="1" t="str">
        <x:f t="shared" si="0"/>
        <x:v>Yes</x:v>
      </x:c>
      <x:c r="N55" s="1" t="s">
        <x:v>28</x:v>
      </x:c>
    </x:row>
    <x:row r="56" ht="90" customHeight="1">
      <x:c r="A56" t="s">
        <x:v>220</x:v>
      </x:c>
      <x:c r="B56" s="1" t="s">
        <x:v>221</x:v>
      </x:c>
      <x:c r="C56" s="1" t="s">
        <x:v>16</x:v>
      </x:c>
      <x:c r="D56" s="1" t="s">
        <x:v>141</x:v>
      </x:c>
      <x:c r="E56" s="1" t="s">
        <x:v>222</x:v>
      </x:c>
      <x:c r="F56" s="1" t="s">
        <x:v>27</x:v>
      </x:c>
      <x:c r="G56" s="1" t="s">
        <x:v>27</x:v>
      </x:c>
      <x:c r="H56" s="1" t="s">
        <x:v>27</x:v>
      </x:c>
      <x:c r="I56" s="1" t="s">
        <x:v>27</x:v>
      </x:c>
      <x:c r="J56" s="1" t="s">
        <x:v>27</x:v>
      </x:c>
      <x:c r="K56" s="1" t="s">
        <x:v>27</x:v>
      </x:c>
      <x:c r="L56" s="1" t="str">
        <x:f t="shared" si="0"/>
        <x:v>Yes</x:v>
      </x:c>
      <x:c r="N56" s="1" t="s">
        <x:v>28</x:v>
      </x:c>
    </x:row>
    <x:row r="57" ht="90" customHeight="1">
      <x:c r="A57" t="s">
        <x:v>223</x:v>
      </x:c>
      <x:c r="B57" s="1" t="s">
        <x:v>224</x:v>
      </x:c>
      <x:c r="C57" s="1" t="s">
        <x:v>16</x:v>
      </x:c>
      <x:c r="D57" s="1" t="s">
        <x:v>17</x:v>
      </x:c>
      <x:c r="E57" s="1" t="s">
        <x:v>225</x:v>
      </x:c>
      <x:c r="F57" s="1" t="s">
        <x:v>19</x:v>
      </x:c>
      <x:c r="G57" s="1" t="s">
        <x:v>19</x:v>
      </x:c>
      <x:c r="H57" s="1" t="s">
        <x:v>19</x:v>
      </x:c>
      <x:c r="I57" s="1" t="s">
        <x:v>19</x:v>
      </x:c>
      <x:c r="J57" s="1" t="s">
        <x:v>19</x:v>
      </x:c>
      <x:c r="K57" s="1" t="s">
        <x:v>19</x:v>
      </x:c>
      <x:c r="L57" s="1" t="str">
        <x:f t="shared" si="0"/>
        <x:v>No</x:v>
      </x:c>
      <x:c r="M57" s="1" t="s">
        <x:v>20</x:v>
      </x:c>
      <x:c r="N57" s="1" t="s">
        <x:v>90</x:v>
      </x:c>
    </x:row>
    <x:row r="58" ht="90" customHeight="1">
      <x:c r="A58" t="s">
        <x:v>226</x:v>
      </x:c>
      <x:c r="B58" s="1" t="s">
        <x:v>227</x:v>
      </x:c>
      <x:c r="C58" s="1" t="s">
        <x:v>16</x:v>
      </x:c>
      <x:c r="D58" s="1" t="s">
        <x:v>141</x:v>
      </x:c>
      <x:c r="E58" s="1" t="s">
        <x:v>228</x:v>
      </x:c>
      <x:c r="F58" s="1" t="s">
        <x:v>27</x:v>
      </x:c>
      <x:c r="G58" s="1" t="s">
        <x:v>27</x:v>
      </x:c>
      <x:c r="H58" s="1" t="s">
        <x:v>27</x:v>
      </x:c>
      <x:c r="I58" s="1" t="s">
        <x:v>27</x:v>
      </x:c>
      <x:c r="J58" s="1" t="s">
        <x:v>27</x:v>
      </x:c>
      <x:c r="K58" s="1" t="s">
        <x:v>27</x:v>
      </x:c>
      <x:c r="L58" s="1" t="str">
        <x:f t="shared" si="0"/>
        <x:v>Yes</x:v>
      </x:c>
      <x:c r="N58" s="1" t="s">
        <x:v>28</x:v>
      </x:c>
    </x:row>
    <x:row r="59" ht="90" customHeight="1">
      <x:c r="A59" t="s">
        <x:v>229</x:v>
      </x:c>
      <x:c r="B59" s="1" t="s">
        <x:v>230</x:v>
      </x:c>
      <x:c r="C59" s="1" t="s">
        <x:v>24</x:v>
      </x:c>
      <x:c r="D59" s="1" t="s">
        <x:v>25</x:v>
      </x:c>
      <x:c r="E59" s="1" t="s">
        <x:v>231</x:v>
      </x:c>
      <x:c r="F59" s="1" t="s">
        <x:v>27</x:v>
      </x:c>
      <x:c r="G59" s="1" t="s">
        <x:v>27</x:v>
      </x:c>
      <x:c r="H59" s="1" t="s">
        <x:v>27</x:v>
      </x:c>
      <x:c r="I59" s="1" t="s">
        <x:v>27</x:v>
      </x:c>
      <x:c r="J59" s="1" t="s">
        <x:v>27</x:v>
      </x:c>
      <x:c r="K59" s="1" t="s">
        <x:v>27</x:v>
      </x:c>
      <x:c r="L59" s="1" t="str">
        <x:f t="shared" si="0"/>
        <x:v>Yes</x:v>
      </x:c>
      <x:c r="N59" s="1" t="s">
        <x:v>28</x:v>
      </x:c>
    </x:row>
    <x:row r="60" ht="90" customHeight="1">
      <x:c r="A60" t="s">
        <x:v>232</x:v>
      </x:c>
      <x:c r="B60" s="1" t="s">
        <x:v>233</x:v>
      </x:c>
      <x:c r="C60" s="1" t="s">
        <x:v>16</x:v>
      </x:c>
      <x:c r="D60" s="1" t="s">
        <x:v>17</x:v>
      </x:c>
      <x:c r="E60" s="1" t="s">
        <x:v>234</x:v>
      </x:c>
      <x:c r="F60" s="1" t="s">
        <x:v>19</x:v>
      </x:c>
      <x:c r="G60" s="1" t="s">
        <x:v>19</x:v>
      </x:c>
      <x:c r="H60" s="1" t="s">
        <x:v>19</x:v>
      </x:c>
      <x:c r="I60" s="1" t="s">
        <x:v>19</x:v>
      </x:c>
      <x:c r="J60" s="1" t="s">
        <x:v>19</x:v>
      </x:c>
      <x:c r="K60" s="1" t="s">
        <x:v>19</x:v>
      </x:c>
      <x:c r="L60" s="1" t="str">
        <x:f t="shared" si="0"/>
        <x:v>No</x:v>
      </x:c>
      <x:c r="M60" s="1" t="s">
        <x:v>20</x:v>
      </x:c>
      <x:c r="N60" s="1" t="s">
        <x:v>34</x:v>
      </x:c>
    </x:row>
    <x:row r="61" ht="90" customHeight="1">
      <x:c r="A61" t="s">
        <x:v>235</x:v>
      </x:c>
      <x:c r="B61" s="1" t="s">
        <x:v>236</x:v>
      </x:c>
      <x:c r="C61" s="1" t="s">
        <x:v>58</x:v>
      </x:c>
      <x:c r="D61" s="1" t="s">
        <x:v>100</x:v>
      </x:c>
      <x:c r="E61" s="1" t="s">
        <x:v>237</x:v>
      </x:c>
      <x:c r="F61" s="1" t="s">
        <x:v>19</x:v>
      </x:c>
      <x:c r="G61" s="1" t="s">
        <x:v>53</x:v>
      </x:c>
      <x:c r="H61" s="1" t="s">
        <x:v>27</x:v>
      </x:c>
      <x:c r="I61" s="1" t="s">
        <x:v>27</x:v>
      </x:c>
      <x:c r="J61" s="1" t="s">
        <x:v>19</x:v>
      </x:c>
      <x:c r="K61" s="1" t="s">
        <x:v>53</x:v>
      </x:c>
      <x:c r="L61" s="1" t="str">
        <x:f t="shared" si="0"/>
        <x:v>No</x:v>
      </x:c>
      <x:c r="M61" s="1" t="s">
        <x:v>102</x:v>
      </x:c>
      <x:c r="N61" s="1" t="s">
        <x:v>146</x:v>
      </x:c>
    </x:row>
    <x:row r="62" ht="90" customHeight="1">
      <x:c r="A62" t="s">
        <x:v>238</x:v>
      </x:c>
      <x:c r="B62" s="1" t="s">
        <x:v>239</x:v>
      </x:c>
      <x:c r="C62" s="1" t="s">
        <x:v>110</x:v>
      </x:c>
      <x:c r="D62" s="1" t="s">
        <x:v>111</x:v>
      </x:c>
      <x:c r="E62" s="1" t="s">
        <x:v>240</x:v>
      </x:c>
      <x:c r="F62" s="1" t="s">
        <x:v>27</x:v>
      </x:c>
      <x:c r="G62" s="1" t="s">
        <x:v>27</x:v>
      </x:c>
      <x:c r="H62" s="1" t="s">
        <x:v>27</x:v>
      </x:c>
      <x:c r="I62" s="1" t="s">
        <x:v>27</x:v>
      </x:c>
      <x:c r="J62" s="1" t="s">
        <x:v>27</x:v>
      </x:c>
      <x:c r="K62" s="1" t="s">
        <x:v>27</x:v>
      </x:c>
      <x:c r="L62" s="1" t="str">
        <x:f t="shared" si="0"/>
        <x:v>Yes</x:v>
      </x:c>
      <x:c r="N62" s="1" t="s">
        <x:v>28</x:v>
      </x:c>
    </x:row>
    <x:row r="63" ht="90" customHeight="1">
      <x:c r="A63" t="s">
        <x:v>241</x:v>
      </x:c>
      <x:c r="B63" s="1" t="s">
        <x:v>242</x:v>
      </x:c>
      <x:c r="C63" s="1" t="s">
        <x:v>58</x:v>
      </x:c>
      <x:c r="D63" s="1" t="s">
        <x:v>59</x:v>
      </x:c>
      <x:c r="E63" s="1" t="s">
        <x:v>243</x:v>
      </x:c>
      <x:c r="F63" s="1" t="s">
        <x:v>27</x:v>
      </x:c>
      <x:c r="G63" s="1" t="s">
        <x:v>53</x:v>
      </x:c>
      <x:c r="H63" s="1" t="s">
        <x:v>27</x:v>
      </x:c>
      <x:c r="I63" s="1" t="s">
        <x:v>27</x:v>
      </x:c>
      <x:c r="J63" s="1" t="s">
        <x:v>27</x:v>
      </x:c>
      <x:c r="K63" s="1" t="s">
        <x:v>53</x:v>
      </x:c>
      <x:c r="L63" s="1" t="str">
        <x:f t="shared" si="0"/>
        <x:v>Borderline</x:v>
      </x:c>
      <x:c r="M63" s="1" t="s">
        <x:v>61</x:v>
      </x:c>
      <x:c r="N63" s="1" t="s">
        <x:v>214</x:v>
      </x:c>
    </x:row>
    <x:row r="64" ht="90" customHeight="1">
      <x:c r="A64" t="s">
        <x:v>244</x:v>
      </x:c>
      <x:c r="B64" s="1" t="s">
        <x:v>245</x:v>
      </x:c>
      <x:c r="C64" s="1" t="s">
        <x:v>110</x:v>
      </x:c>
      <x:c r="D64" s="1" t="s">
        <x:v>111</x:v>
      </x:c>
      <x:c r="E64" s="1" t="s">
        <x:v>246</x:v>
      </x:c>
      <x:c r="F64" s="1" t="s">
        <x:v>27</x:v>
      </x:c>
      <x:c r="G64" s="1" t="s">
        <x:v>19</x:v>
      </x:c>
      <x:c r="H64" s="1" t="s">
        <x:v>27</x:v>
      </x:c>
      <x:c r="I64" s="1" t="s">
        <x:v>19</x:v>
      </x:c>
      <x:c r="J64" s="1" t="s">
        <x:v>27</x:v>
      </x:c>
      <x:c r="K64" s="1" t="s">
        <x:v>19</x:v>
      </x:c>
      <x:c r="L64" s="1" t="str">
        <x:f t="shared" si="0"/>
        <x:v>No</x:v>
      </x:c>
      <x:c r="M64" s="1" t="s">
        <x:v>247</x:v>
      </x:c>
      <x:c r="N64" s="1" t="s">
        <x:v>248</x:v>
      </x:c>
    </x:row>
    <x:row r="65" ht="90" customHeight="1">
      <x:c r="A65" t="s">
        <x:v>249</x:v>
      </x:c>
      <x:c r="B65" s="1" t="s">
        <x:v>250</x:v>
      </x:c>
      <x:c r="C65" s="1" t="s">
        <x:v>31</x:v>
      </x:c>
      <x:c r="D65" s="1" t="s">
        <x:v>161</x:v>
      </x:c>
      <x:c r="E65" s="1" t="s">
        <x:v>251</x:v>
      </x:c>
      <x:c r="F65" s="1" t="s">
        <x:v>27</x:v>
      </x:c>
      <x:c r="G65" s="1" t="s">
        <x:v>27</x:v>
      </x:c>
      <x:c r="H65" s="1" t="s">
        <x:v>27</x:v>
      </x:c>
      <x:c r="I65" s="1" t="s">
        <x:v>27</x:v>
      </x:c>
      <x:c r="J65" s="1" t="s">
        <x:v>27</x:v>
      </x:c>
      <x:c r="K65" s="1" t="s">
        <x:v>27</x:v>
      </x:c>
      <x:c r="L65" s="1" t="str">
        <x:f t="shared" si="0"/>
        <x:v>Yes</x:v>
      </x:c>
      <x:c r="N65" s="1" t="s">
        <x:v>28</x:v>
      </x:c>
    </x:row>
    <x:row r="66" ht="90" customHeight="1">
      <x:c r="A66" t="s">
        <x:v>252</x:v>
      </x:c>
      <x:c r="B66" s="1" t="s">
        <x:v>253</x:v>
      </x:c>
      <x:c r="C66" s="1" t="s">
        <x:v>16</x:v>
      </x:c>
      <x:c r="D66" s="1" t="s">
        <x:v>141</x:v>
      </x:c>
      <x:c r="E66" s="1" t="s">
        <x:v>254</x:v>
      </x:c>
      <x:c r="F66" s="1" t="s">
        <x:v>27</x:v>
      </x:c>
      <x:c r="G66" s="1" t="s">
        <x:v>27</x:v>
      </x:c>
      <x:c r="H66" s="1" t="s">
        <x:v>27</x:v>
      </x:c>
      <x:c r="I66" s="1" t="s">
        <x:v>27</x:v>
      </x:c>
      <x:c r="J66" s="1" t="s">
        <x:v>27</x:v>
      </x:c>
      <x:c r="K66" s="1" t="s">
        <x:v>27</x:v>
      </x:c>
      <x:c r="L66" s="1" t="str">
        <x:f t="shared" ref="L66:L116" si="1">IF(COUNTIF(F66:K66,"No")&gt;0,"No",IF(COUNTIF(F66:K66,"Borderline")&gt;0,"Borderline",IF(COUNTIF(F66:K66,"Uncertain")&gt;0,"Uncertain","Yes")))</x:f>
        <x:v>Yes</x:v>
      </x:c>
      <x:c r="N66" s="1" t="s">
        <x:v>28</x:v>
      </x:c>
    </x:row>
    <x:row r="67" ht="90" customHeight="1">
      <x:c r="A67" t="s">
        <x:v>255</x:v>
      </x:c>
      <x:c r="B67" s="1" t="s">
        <x:v>256</x:v>
      </x:c>
      <x:c r="C67" s="1" t="s">
        <x:v>58</x:v>
      </x:c>
      <x:c r="D67" s="1" t="s">
        <x:v>100</x:v>
      </x:c>
      <x:c r="E67" s="1" t="s">
        <x:v>257</x:v>
      </x:c>
      <x:c r="F67" s="1" t="s">
        <x:v>19</x:v>
      </x:c>
      <x:c r="G67" s="1" t="s">
        <x:v>53</x:v>
      </x:c>
      <x:c r="H67" s="1" t="s">
        <x:v>27</x:v>
      </x:c>
      <x:c r="I67" s="1" t="s">
        <x:v>27</x:v>
      </x:c>
      <x:c r="J67" s="1" t="s">
        <x:v>19</x:v>
      </x:c>
      <x:c r="K67" s="1" t="s">
        <x:v>53</x:v>
      </x:c>
      <x:c r="L67" s="1" t="str">
        <x:f t="shared" si="1"/>
        <x:v>No</x:v>
      </x:c>
      <x:c r="M67" s="1" t="s">
        <x:v>102</x:v>
      </x:c>
      <x:c r="N67" s="1" t="s">
        <x:v>169</x:v>
      </x:c>
    </x:row>
    <x:row r="68" ht="90" customHeight="1">
      <x:c r="A68" t="s">
        <x:v>258</x:v>
      </x:c>
      <x:c r="B68" s="1" t="s">
        <x:v>259</x:v>
      </x:c>
      <x:c r="C68" s="1" t="s">
        <x:v>16</x:v>
      </x:c>
      <x:c r="D68" s="1" t="s">
        <x:v>17</x:v>
      </x:c>
      <x:c r="E68" s="1" t="s">
        <x:v>260</x:v>
      </x:c>
      <x:c r="F68" s="1" t="s">
        <x:v>19</x:v>
      </x:c>
      <x:c r="G68" s="1" t="s">
        <x:v>19</x:v>
      </x:c>
      <x:c r="H68" s="1" t="s">
        <x:v>19</x:v>
      </x:c>
      <x:c r="I68" s="1" t="s">
        <x:v>19</x:v>
      </x:c>
      <x:c r="J68" s="1" t="s">
        <x:v>19</x:v>
      </x:c>
      <x:c r="K68" s="1" t="s">
        <x:v>19</x:v>
      </x:c>
      <x:c r="L68" s="1" t="str">
        <x:f t="shared" si="1"/>
        <x:v>No</x:v>
      </x:c>
      <x:c r="M68" s="1" t="s">
        <x:v>20</x:v>
      </x:c>
      <x:c r="N68" s="1" t="s">
        <x:v>94</x:v>
      </x:c>
    </x:row>
    <x:row r="69" ht="90" customHeight="1">
      <x:c r="A69" t="s">
        <x:v>261</x:v>
      </x:c>
      <x:c r="B69" s="1" t="s">
        <x:v>262</x:v>
      </x:c>
      <x:c r="C69" s="1" t="s">
        <x:v>16</x:v>
      </x:c>
      <x:c r="D69" s="1" t="s">
        <x:v>17</x:v>
      </x:c>
      <x:c r="E69" s="1" t="s">
        <x:v>263</x:v>
      </x:c>
      <x:c r="F69" s="1" t="s">
        <x:v>19</x:v>
      </x:c>
      <x:c r="G69" s="1" t="s">
        <x:v>19</x:v>
      </x:c>
      <x:c r="H69" s="1" t="s">
        <x:v>19</x:v>
      </x:c>
      <x:c r="I69" s="1" t="s">
        <x:v>19</x:v>
      </x:c>
      <x:c r="J69" s="1" t="s">
        <x:v>19</x:v>
      </x:c>
      <x:c r="K69" s="1" t="s">
        <x:v>19</x:v>
      </x:c>
      <x:c r="L69" s="1" t="str">
        <x:f t="shared" si="1"/>
        <x:v>No</x:v>
      </x:c>
      <x:c r="M69" s="1" t="s">
        <x:v>20</x:v>
      </x:c>
      <x:c r="N69" s="1" t="s">
        <x:v>94</x:v>
      </x:c>
    </x:row>
    <x:row r="70" ht="90" customHeight="1">
      <x:c r="A70" t="s">
        <x:v>264</x:v>
      </x:c>
      <x:c r="B70" s="1" t="s">
        <x:v>265</x:v>
      </x:c>
      <x:c r="C70" s="1" t="s">
        <x:v>58</x:v>
      </x:c>
      <x:c r="D70" s="1" t="s">
        <x:v>59</x:v>
      </x:c>
      <x:c r="E70" s="1" t="s">
        <x:v>266</x:v>
      </x:c>
      <x:c r="F70" s="1" t="s">
        <x:v>27</x:v>
      </x:c>
      <x:c r="G70" s="1" t="s">
        <x:v>53</x:v>
      </x:c>
      <x:c r="H70" s="1" t="s">
        <x:v>27</x:v>
      </x:c>
      <x:c r="I70" s="1" t="s">
        <x:v>27</x:v>
      </x:c>
      <x:c r="J70" s="1" t="s">
        <x:v>27</x:v>
      </x:c>
      <x:c r="K70" s="1" t="s">
        <x:v>53</x:v>
      </x:c>
      <x:c r="L70" s="1" t="str">
        <x:f t="shared" si="1"/>
        <x:v>Borderline</x:v>
      </x:c>
      <x:c r="M70" s="1" t="s">
        <x:v>61</x:v>
      </x:c>
      <x:c r="N70" s="1" t="s">
        <x:v>192</x:v>
      </x:c>
    </x:row>
    <x:row r="71" ht="90" customHeight="1">
      <x:c r="A71" t="s">
        <x:v>267</x:v>
      </x:c>
      <x:c r="B71" s="1" t="s">
        <x:v>268</x:v>
      </x:c>
      <x:c r="C71" s="1" t="s">
        <x:v>16</x:v>
      </x:c>
      <x:c r="D71" s="1" t="s">
        <x:v>17</x:v>
      </x:c>
      <x:c r="E71" s="1" t="s">
        <x:v>269</x:v>
      </x:c>
      <x:c r="F71" s="1" t="s">
        <x:v>19</x:v>
      </x:c>
      <x:c r="G71" s="1" t="s">
        <x:v>19</x:v>
      </x:c>
      <x:c r="H71" s="1" t="s">
        <x:v>19</x:v>
      </x:c>
      <x:c r="I71" s="1" t="s">
        <x:v>19</x:v>
      </x:c>
      <x:c r="J71" s="1" t="s">
        <x:v>19</x:v>
      </x:c>
      <x:c r="K71" s="1" t="s">
        <x:v>19</x:v>
      </x:c>
      <x:c r="L71" s="1" t="str">
        <x:f t="shared" si="1"/>
        <x:v>No</x:v>
      </x:c>
      <x:c r="M71" s="1" t="s">
        <x:v>20</x:v>
      </x:c>
      <x:c r="N71" s="1" t="s">
        <x:v>21</x:v>
      </x:c>
    </x:row>
    <x:row r="72" ht="90" customHeight="1">
      <x:c r="A72" t="s">
        <x:v>270</x:v>
      </x:c>
      <x:c r="B72" s="1" t="s">
        <x:v>120</x:v>
      </x:c>
      <x:c r="C72" s="1" t="s">
        <x:v>181</x:v>
      </x:c>
      <x:c r="D72" s="1" t="s">
        <x:v>121</x:v>
      </x:c>
      <x:c r="E72" s="1" t="s">
        <x:v>122</x:v>
      </x:c>
      <x:c r="F72" s="1" t="s">
        <x:v>27</x:v>
      </x:c>
      <x:c r="G72" s="1" t="s">
        <x:v>27</x:v>
      </x:c>
      <x:c r="H72" s="1" t="s">
        <x:v>27</x:v>
      </x:c>
      <x:c r="I72" s="1" t="s">
        <x:v>27</x:v>
      </x:c>
      <x:c r="J72" s="1" t="s">
        <x:v>27</x:v>
      </x:c>
      <x:c r="K72" s="1" t="s">
        <x:v>53</x:v>
      </x:c>
      <x:c r="L72" s="1" t="str">
        <x:f t="shared" si="1"/>
        <x:v>Borderline</x:v>
      </x:c>
      <x:c r="M72" s="1" t="s">
        <x:v>54</x:v>
      </x:c>
      <x:c r="N72" s="1" t="s">
        <x:v>55</x:v>
      </x:c>
    </x:row>
    <x:row r="73" ht="90" customHeight="1">
      <x:c r="A73" t="s">
        <x:v>271</x:v>
      </x:c>
      <x:c r="B73" s="1" t="s">
        <x:v>272</x:v>
      </x:c>
      <x:c r="C73" s="1" t="s">
        <x:v>16</x:v>
      </x:c>
      <x:c r="D73" s="1" t="s">
        <x:v>17</x:v>
      </x:c>
      <x:c r="E73" s="1" t="s">
        <x:v>273</x:v>
      </x:c>
      <x:c r="F73" s="1" t="s">
        <x:v>19</x:v>
      </x:c>
      <x:c r="G73" s="1" t="s">
        <x:v>19</x:v>
      </x:c>
      <x:c r="H73" s="1" t="s">
        <x:v>19</x:v>
      </x:c>
      <x:c r="I73" s="1" t="s">
        <x:v>19</x:v>
      </x:c>
      <x:c r="J73" s="1" t="s">
        <x:v>19</x:v>
      </x:c>
      <x:c r="K73" s="1" t="s">
        <x:v>19</x:v>
      </x:c>
      <x:c r="L73" s="1" t="str">
        <x:f t="shared" si="1"/>
        <x:v>No</x:v>
      </x:c>
      <x:c r="M73" s="1" t="s">
        <x:v>20</x:v>
      </x:c>
      <x:c r="N73" s="1" t="s">
        <x:v>80</x:v>
      </x:c>
    </x:row>
    <x:row r="74" ht="90" customHeight="1">
      <x:c r="A74" t="s">
        <x:v>274</x:v>
      </x:c>
      <x:c r="B74" s="1" t="s">
        <x:v>275</x:v>
      </x:c>
      <x:c r="C74" s="1" t="s">
        <x:v>24</x:v>
      </x:c>
      <x:c r="D74" s="1" t="s">
        <x:v>25</x:v>
      </x:c>
      <x:c r="E74" s="1" t="s">
        <x:v>276</x:v>
      </x:c>
      <x:c r="F74" s="1" t="s">
        <x:v>27</x:v>
      </x:c>
      <x:c r="G74" s="1" t="s">
        <x:v>27</x:v>
      </x:c>
      <x:c r="H74" s="1" t="s">
        <x:v>27</x:v>
      </x:c>
      <x:c r="I74" s="1" t="s">
        <x:v>27</x:v>
      </x:c>
      <x:c r="J74" s="1" t="s">
        <x:v>27</x:v>
      </x:c>
      <x:c r="K74" s="1" t="s">
        <x:v>27</x:v>
      </x:c>
      <x:c r="L74" s="1" t="str">
        <x:f t="shared" si="1"/>
        <x:v>Yes</x:v>
      </x:c>
      <x:c r="N74" s="1" t="s">
        <x:v>28</x:v>
      </x:c>
    </x:row>
    <x:row r="75" ht="90" customHeight="1">
      <x:c r="A75" t="s">
        <x:v>277</x:v>
      </x:c>
      <x:c r="B75" s="1" t="s">
        <x:v>278</x:v>
      </x:c>
      <x:c r="C75" s="1" t="s">
        <x:v>58</x:v>
      </x:c>
      <x:c r="D75" s="1" t="s">
        <x:v>100</x:v>
      </x:c>
      <x:c r="E75" s="1" t="s">
        <x:v>279</x:v>
      </x:c>
      <x:c r="F75" s="1" t="s">
        <x:v>19</x:v>
      </x:c>
      <x:c r="G75" s="1" t="s">
        <x:v>53</x:v>
      </x:c>
      <x:c r="H75" s="1" t="s">
        <x:v>27</x:v>
      </x:c>
      <x:c r="I75" s="1" t="s">
        <x:v>27</x:v>
      </x:c>
      <x:c r="J75" s="1" t="s">
        <x:v>19</x:v>
      </x:c>
      <x:c r="K75" s="1" t="s">
        <x:v>53</x:v>
      </x:c>
      <x:c r="L75" s="1" t="str">
        <x:f t="shared" si="1"/>
        <x:v>No</x:v>
      </x:c>
      <x:c r="M75" s="1" t="s">
        <x:v>102</x:v>
      </x:c>
      <x:c r="N75" s="1" t="s">
        <x:v>280</x:v>
      </x:c>
    </x:row>
    <x:row r="76" ht="90" customHeight="1">
      <x:c r="A76" t="s">
        <x:v>281</x:v>
      </x:c>
      <x:c r="B76" s="1" t="s">
        <x:v>282</x:v>
      </x:c>
      <x:c r="C76" s="1" t="s">
        <x:v>16</x:v>
      </x:c>
      <x:c r="D76" s="1" t="s">
        <x:v>17</x:v>
      </x:c>
      <x:c r="E76" s="1" t="s">
        <x:v>283</x:v>
      </x:c>
      <x:c r="F76" s="1" t="s">
        <x:v>19</x:v>
      </x:c>
      <x:c r="G76" s="1" t="s">
        <x:v>19</x:v>
      </x:c>
      <x:c r="H76" s="1" t="s">
        <x:v>19</x:v>
      </x:c>
      <x:c r="I76" s="1" t="s">
        <x:v>19</x:v>
      </x:c>
      <x:c r="J76" s="1" t="s">
        <x:v>19</x:v>
      </x:c>
      <x:c r="K76" s="1" t="s">
        <x:v>19</x:v>
      </x:c>
      <x:c r="L76" s="1" t="str">
        <x:f t="shared" si="1"/>
        <x:v>No</x:v>
      </x:c>
      <x:c r="M76" s="1" t="s">
        <x:v>20</x:v>
      </x:c>
      <x:c r="N76" s="1" t="s">
        <x:v>80</x:v>
      </x:c>
    </x:row>
    <x:row r="77" ht="90" customHeight="1">
      <x:c r="A77" t="s">
        <x:v>284</x:v>
      </x:c>
      <x:c r="B77" s="1" t="s">
        <x:v>285</x:v>
      </x:c>
      <x:c r="C77" s="1" t="s">
        <x:v>16</x:v>
      </x:c>
      <x:c r="D77" s="1" t="s">
        <x:v>17</x:v>
      </x:c>
      <x:c r="E77" s="1" t="s">
        <x:v>286</x:v>
      </x:c>
      <x:c r="F77" s="1" t="s">
        <x:v>19</x:v>
      </x:c>
      <x:c r="G77" s="1" t="s">
        <x:v>19</x:v>
      </x:c>
      <x:c r="H77" s="1" t="s">
        <x:v>19</x:v>
      </x:c>
      <x:c r="I77" s="1" t="s">
        <x:v>19</x:v>
      </x:c>
      <x:c r="J77" s="1" t="s">
        <x:v>19</x:v>
      </x:c>
      <x:c r="K77" s="1" t="s">
        <x:v>19</x:v>
      </x:c>
      <x:c r="L77" s="1" t="str">
        <x:f t="shared" si="1"/>
        <x:v>No</x:v>
      </x:c>
      <x:c r="M77" s="1" t="s">
        <x:v>20</x:v>
      </x:c>
      <x:c r="N77" s="1" t="s">
        <x:v>90</x:v>
      </x:c>
    </x:row>
    <x:row r="78" ht="90" customHeight="1">
      <x:c r="A78" t="s">
        <x:v>287</x:v>
      </x:c>
      <x:c r="B78" s="1" t="s">
        <x:v>288</x:v>
      </x:c>
      <x:c r="C78" s="1" t="s">
        <x:v>58</x:v>
      </x:c>
      <x:c r="D78" s="1" t="s">
        <x:v>59</x:v>
      </x:c>
      <x:c r="E78" s="1" t="s">
        <x:v>289</x:v>
      </x:c>
      <x:c r="F78" s="1" t="s">
        <x:v>27</x:v>
      </x:c>
      <x:c r="G78" s="1" t="s">
        <x:v>19</x:v>
      </x:c>
      <x:c r="H78" s="1" t="s">
        <x:v>19</x:v>
      </x:c>
      <x:c r="I78" s="1" t="s">
        <x:v>19</x:v>
      </x:c>
      <x:c r="J78" s="1" t="s">
        <x:v>27</x:v>
      </x:c>
      <x:c r="K78" s="1" t="s">
        <x:v>19</x:v>
      </x:c>
      <x:c r="L78" s="1" t="str">
        <x:f t="shared" si="1"/>
        <x:v>No</x:v>
      </x:c>
      <x:c r="M78" s="1" t="s">
        <x:v>290</x:v>
      </x:c>
      <x:c r="N78" s="1" t="s">
        <x:v>291</x:v>
      </x:c>
    </x:row>
    <x:row r="79" ht="90" customHeight="1">
      <x:c r="A79" t="s">
        <x:v>292</x:v>
      </x:c>
      <x:c r="B79" s="1" t="s">
        <x:v>293</x:v>
      </x:c>
      <x:c r="C79" s="1" t="s">
        <x:v>16</x:v>
      </x:c>
      <x:c r="D79" s="1" t="s">
        <x:v>17</x:v>
      </x:c>
      <x:c r="E79" s="1" t="s">
        <x:v>294</x:v>
      </x:c>
      <x:c r="F79" s="1" t="s">
        <x:v>19</x:v>
      </x:c>
      <x:c r="G79" s="1" t="s">
        <x:v>19</x:v>
      </x:c>
      <x:c r="H79" s="1" t="s">
        <x:v>19</x:v>
      </x:c>
      <x:c r="I79" s="1" t="s">
        <x:v>19</x:v>
      </x:c>
      <x:c r="J79" s="1" t="s">
        <x:v>19</x:v>
      </x:c>
      <x:c r="K79" s="1" t="s">
        <x:v>19</x:v>
      </x:c>
      <x:c r="L79" s="1" t="str">
        <x:f t="shared" si="1"/>
        <x:v>No</x:v>
      </x:c>
      <x:c r="M79" s="1" t="s">
        <x:v>20</x:v>
      </x:c>
      <x:c r="N79" s="1" t="s">
        <x:v>90</x:v>
      </x:c>
    </x:row>
    <x:row r="80" ht="90" customHeight="1">
      <x:c r="A80" t="s">
        <x:v>295</x:v>
      </x:c>
      <x:c r="B80" s="1" t="s">
        <x:v>296</x:v>
      </x:c>
      <x:c r="C80" s="1" t="s">
        <x:v>31</x:v>
      </x:c>
      <x:c r="D80" s="1" t="s">
        <x:v>32</x:v>
      </x:c>
      <x:c r="E80" s="1" t="s">
        <x:v>297</x:v>
      </x:c>
      <x:c r="F80" s="1" t="s">
        <x:v>19</x:v>
      </x:c>
      <x:c r="G80" s="1" t="s">
        <x:v>19</x:v>
      </x:c>
      <x:c r="H80" s="1" t="s">
        <x:v>19</x:v>
      </x:c>
      <x:c r="I80" s="1" t="s">
        <x:v>19</x:v>
      </x:c>
      <x:c r="J80" s="1" t="s">
        <x:v>19</x:v>
      </x:c>
      <x:c r="K80" s="1" t="s">
        <x:v>19</x:v>
      </x:c>
      <x:c r="L80" s="1" t="str">
        <x:f t="shared" si="1"/>
        <x:v>No</x:v>
      </x:c>
      <x:c r="M80" s="1" t="s">
        <x:v>20</x:v>
      </x:c>
      <x:c r="N80" s="1" t="s">
        <x:v>94</x:v>
      </x:c>
    </x:row>
    <x:row r="81" ht="90" customHeight="1">
      <x:c r="A81" t="s">
        <x:v>298</x:v>
      </x:c>
      <x:c r="B81" s="1" t="s">
        <x:v>299</x:v>
      </x:c>
      <x:c r="C81" s="1" t="s">
        <x:v>31</x:v>
      </x:c>
      <x:c r="D81" s="1" t="s">
        <x:v>161</x:v>
      </x:c>
      <x:c r="E81" s="1" t="s">
        <x:v>300</x:v>
      </x:c>
      <x:c r="F81" s="1" t="s">
        <x:v>27</x:v>
      </x:c>
      <x:c r="G81" s="1" t="s">
        <x:v>27</x:v>
      </x:c>
      <x:c r="H81" s="1" t="s">
        <x:v>27</x:v>
      </x:c>
      <x:c r="I81" s="1" t="s">
        <x:v>27</x:v>
      </x:c>
      <x:c r="J81" s="1" t="s">
        <x:v>27</x:v>
      </x:c>
      <x:c r="K81" s="1" t="s">
        <x:v>27</x:v>
      </x:c>
      <x:c r="L81" s="1" t="str">
        <x:f t="shared" si="1"/>
        <x:v>Yes</x:v>
      </x:c>
      <x:c r="N81" s="1" t="s">
        <x:v>28</x:v>
      </x:c>
    </x:row>
    <x:row r="82" ht="90" customHeight="1">
      <x:c r="A82" t="s">
        <x:v>301</x:v>
      </x:c>
      <x:c r="B82" s="1" t="s">
        <x:v>302</x:v>
      </x:c>
      <x:c r="C82" s="1" t="s">
        <x:v>24</x:v>
      </x:c>
      <x:c r="D82" s="1" t="s">
        <x:v>25</x:v>
      </x:c>
      <x:c r="E82" s="1" t="s">
        <x:v>303</x:v>
      </x:c>
      <x:c r="F82" s="1" t="s">
        <x:v>27</x:v>
      </x:c>
      <x:c r="G82" s="1" t="s">
        <x:v>27</x:v>
      </x:c>
      <x:c r="H82" s="1" t="s">
        <x:v>27</x:v>
      </x:c>
      <x:c r="I82" s="1" t="s">
        <x:v>27</x:v>
      </x:c>
      <x:c r="J82" s="1" t="s">
        <x:v>27</x:v>
      </x:c>
      <x:c r="K82" s="1" t="s">
        <x:v>27</x:v>
      </x:c>
      <x:c r="L82" s="1" t="str">
        <x:f t="shared" si="1"/>
        <x:v>Yes</x:v>
      </x:c>
      <x:c r="N82" s="1" t="s">
        <x:v>28</x:v>
      </x:c>
    </x:row>
    <x:row r="83" ht="90" customHeight="1">
      <x:c r="A83" t="s">
        <x:v>304</x:v>
      </x:c>
      <x:c r="B83" s="1" t="s">
        <x:v>305</x:v>
      </x:c>
      <x:c r="C83" s="1" t="s">
        <x:v>31</x:v>
      </x:c>
      <x:c r="D83" s="1" t="s">
        <x:v>32</x:v>
      </x:c>
      <x:c r="E83" s="1" t="s">
        <x:v>306</x:v>
      </x:c>
      <x:c r="F83" s="1" t="s">
        <x:v>19</x:v>
      </x:c>
      <x:c r="G83" s="1" t="s">
        <x:v>19</x:v>
      </x:c>
      <x:c r="H83" s="1" t="s">
        <x:v>19</x:v>
      </x:c>
      <x:c r="I83" s="1" t="s">
        <x:v>19</x:v>
      </x:c>
      <x:c r="J83" s="1" t="s">
        <x:v>19</x:v>
      </x:c>
      <x:c r="K83" s="1" t="s">
        <x:v>19</x:v>
      </x:c>
      <x:c r="L83" s="1" t="str">
        <x:f t="shared" si="1"/>
        <x:v>No</x:v>
      </x:c>
      <x:c r="M83" s="1" t="s">
        <x:v>20</x:v>
      </x:c>
      <x:c r="N83" s="1" t="s">
        <x:v>90</x:v>
      </x:c>
    </x:row>
    <x:row r="84" ht="90" customHeight="1">
      <x:c r="A84" t="s">
        <x:v>307</x:v>
      </x:c>
      <x:c r="B84" s="1" t="s">
        <x:v>308</x:v>
      </x:c>
      <x:c r="C84" s="1" t="s">
        <x:v>58</x:v>
      </x:c>
      <x:c r="D84" s="1" t="s">
        <x:v>100</x:v>
      </x:c>
      <x:c r="E84" s="1" t="s">
        <x:v>309</x:v>
      </x:c>
      <x:c r="F84" s="1" t="s">
        <x:v>19</x:v>
      </x:c>
      <x:c r="G84" s="1" t="s">
        <x:v>53</x:v>
      </x:c>
      <x:c r="H84" s="1" t="s">
        <x:v>27</x:v>
      </x:c>
      <x:c r="I84" s="1" t="s">
        <x:v>27</x:v>
      </x:c>
      <x:c r="J84" s="1" t="s">
        <x:v>19</x:v>
      </x:c>
      <x:c r="K84" s="1" t="s">
        <x:v>53</x:v>
      </x:c>
      <x:c r="L84" s="1" t="str">
        <x:f t="shared" si="1"/>
        <x:v>No</x:v>
      </x:c>
      <x:c r="M84" s="1" t="s">
        <x:v>102</x:v>
      </x:c>
      <x:c r="N84" s="1" t="s">
        <x:v>280</x:v>
      </x:c>
    </x:row>
    <x:row r="85" ht="90" customHeight="1">
      <x:c r="A85" t="s">
        <x:v>310</x:v>
      </x:c>
      <x:c r="B85" s="1" t="s">
        <x:v>311</x:v>
      </x:c>
      <x:c r="C85" s="1" t="s">
        <x:v>24</x:v>
      </x:c>
      <x:c r="D85" s="1" t="s">
        <x:v>25</x:v>
      </x:c>
      <x:c r="E85" s="1" t="s">
        <x:v>312</x:v>
      </x:c>
      <x:c r="F85" s="1" t="s">
        <x:v>27</x:v>
      </x:c>
      <x:c r="G85" s="1" t="s">
        <x:v>27</x:v>
      </x:c>
      <x:c r="H85" s="1" t="s">
        <x:v>27</x:v>
      </x:c>
      <x:c r="I85" s="1" t="s">
        <x:v>27</x:v>
      </x:c>
      <x:c r="J85" s="1" t="s">
        <x:v>27</x:v>
      </x:c>
      <x:c r="K85" s="1" t="s">
        <x:v>27</x:v>
      </x:c>
      <x:c r="L85" s="1" t="str">
        <x:f t="shared" si="1"/>
        <x:v>Yes</x:v>
      </x:c>
      <x:c r="N85" s="1" t="s">
        <x:v>28</x:v>
      </x:c>
    </x:row>
    <x:row r="86" ht="90" customHeight="1">
      <x:c r="A86" t="s">
        <x:v>313</x:v>
      </x:c>
      <x:c r="B86" s="1" t="s">
        <x:v>314</x:v>
      </x:c>
      <x:c r="C86" s="1" t="s">
        <x:v>31</x:v>
      </x:c>
      <x:c r="D86" s="1" t="s">
        <x:v>32</x:v>
      </x:c>
      <x:c r="E86" s="1" t="s">
        <x:v>315</x:v>
      </x:c>
      <x:c r="F86" s="1" t="s">
        <x:v>19</x:v>
      </x:c>
      <x:c r="G86" s="1" t="s">
        <x:v>19</x:v>
      </x:c>
      <x:c r="H86" s="1" t="s">
        <x:v>19</x:v>
      </x:c>
      <x:c r="I86" s="1" t="s">
        <x:v>19</x:v>
      </x:c>
      <x:c r="J86" s="1" t="s">
        <x:v>19</x:v>
      </x:c>
      <x:c r="K86" s="1" t="s">
        <x:v>19</x:v>
      </x:c>
      <x:c r="L86" s="1" t="str">
        <x:f t="shared" si="1"/>
        <x:v>No</x:v>
      </x:c>
      <x:c r="M86" s="1" t="s">
        <x:v>20</x:v>
      </x:c>
      <x:c r="N86" s="1" t="s">
        <x:v>90</x:v>
      </x:c>
    </x:row>
    <x:row r="87" ht="90" customHeight="1">
      <x:c r="A87" t="s">
        <x:v>316</x:v>
      </x:c>
      <x:c r="B87" s="1" t="s">
        <x:v>317</x:v>
      </x:c>
      <x:c r="C87" s="1" t="s">
        <x:v>31</x:v>
      </x:c>
      <x:c r="D87" s="1" t="s">
        <x:v>32</x:v>
      </x:c>
      <x:c r="E87" s="1" t="s">
        <x:v>318</x:v>
      </x:c>
      <x:c r="F87" s="1" t="s">
        <x:v>19</x:v>
      </x:c>
      <x:c r="G87" s="1" t="s">
        <x:v>19</x:v>
      </x:c>
      <x:c r="H87" s="1" t="s">
        <x:v>19</x:v>
      </x:c>
      <x:c r="I87" s="1" t="s">
        <x:v>19</x:v>
      </x:c>
      <x:c r="J87" s="1" t="s">
        <x:v>19</x:v>
      </x:c>
      <x:c r="K87" s="1" t="s">
        <x:v>19</x:v>
      </x:c>
      <x:c r="L87" s="1" t="str">
        <x:f t="shared" si="1"/>
        <x:v>No</x:v>
      </x:c>
      <x:c r="M87" s="1" t="s">
        <x:v>20</x:v>
      </x:c>
      <x:c r="N87" s="1" t="s">
        <x:v>80</x:v>
      </x:c>
    </x:row>
    <x:row r="88" ht="90" customHeight="1">
      <x:c r="A88" t="s">
        <x:v>319</x:v>
      </x:c>
      <x:c r="B88" s="1" t="s">
        <x:v>320</x:v>
      </x:c>
      <x:c r="C88" s="1" t="s">
        <x:v>58</x:v>
      </x:c>
      <x:c r="D88" s="1" t="s">
        <x:v>59</x:v>
      </x:c>
      <x:c r="E88" s="1" t="s">
        <x:v>321</x:v>
      </x:c>
      <x:c r="F88" s="1" t="s">
        <x:v>27</x:v>
      </x:c>
      <x:c r="G88" s="1" t="s">
        <x:v>53</x:v>
      </x:c>
      <x:c r="H88" s="1" t="s">
        <x:v>27</x:v>
      </x:c>
      <x:c r="I88" s="1" t="s">
        <x:v>27</x:v>
      </x:c>
      <x:c r="J88" s="1" t="s">
        <x:v>27</x:v>
      </x:c>
      <x:c r="K88" s="1" t="s">
        <x:v>53</x:v>
      </x:c>
      <x:c r="L88" s="1" t="str">
        <x:f t="shared" si="1"/>
        <x:v>Borderline</x:v>
      </x:c>
      <x:c r="M88" s="1" t="s">
        <x:v>61</x:v>
      </x:c>
      <x:c r="N88" s="1" t="s">
        <x:v>62</x:v>
      </x:c>
    </x:row>
    <x:row r="89" ht="90" customHeight="1">
      <x:c r="A89" t="s">
        <x:v>322</x:v>
      </x:c>
      <x:c r="B89" s="1" t="s">
        <x:v>323</x:v>
      </x:c>
      <x:c r="C89" s="1" t="s">
        <x:v>58</x:v>
      </x:c>
      <x:c r="D89" s="1" t="s">
        <x:v>100</x:v>
      </x:c>
      <x:c r="E89" s="1" t="s">
        <x:v>324</x:v>
      </x:c>
      <x:c r="F89" s="1" t="s">
        <x:v>19</x:v>
      </x:c>
      <x:c r="G89" s="1" t="s">
        <x:v>53</x:v>
      </x:c>
      <x:c r="H89" s="1" t="s">
        <x:v>27</x:v>
      </x:c>
      <x:c r="I89" s="1" t="s">
        <x:v>27</x:v>
      </x:c>
      <x:c r="J89" s="1" t="s">
        <x:v>19</x:v>
      </x:c>
      <x:c r="K89" s="1" t="s">
        <x:v>53</x:v>
      </x:c>
      <x:c r="L89" s="1" t="str">
        <x:f t="shared" si="1"/>
        <x:v>No</x:v>
      </x:c>
      <x:c r="M89" s="1" t="s">
        <x:v>102</x:v>
      </x:c>
      <x:c r="N89" s="1" t="s">
        <x:v>146</x:v>
      </x:c>
    </x:row>
    <x:row r="90" ht="90" customHeight="1">
      <x:c r="A90" t="s">
        <x:v>325</x:v>
      </x:c>
      <x:c r="B90" s="1" t="s">
        <x:v>326</x:v>
      </x:c>
      <x:c r="C90" s="1" t="s">
        <x:v>58</x:v>
      </x:c>
      <x:c r="D90" s="1" t="s">
        <x:v>59</x:v>
      </x:c>
      <x:c r="E90" s="1" t="s">
        <x:v>327</x:v>
      </x:c>
      <x:c r="F90" s="1" t="s">
        <x:v>27</x:v>
      </x:c>
      <x:c r="G90" s="1" t="s">
        <x:v>53</x:v>
      </x:c>
      <x:c r="H90" s="1" t="s">
        <x:v>27</x:v>
      </x:c>
      <x:c r="I90" s="1" t="s">
        <x:v>27</x:v>
      </x:c>
      <x:c r="J90" s="1" t="s">
        <x:v>27</x:v>
      </x:c>
      <x:c r="K90" s="1" t="s">
        <x:v>53</x:v>
      </x:c>
      <x:c r="L90" s="1" t="str">
        <x:f t="shared" si="1"/>
        <x:v>Borderline</x:v>
      </x:c>
      <x:c r="M90" s="1" t="s">
        <x:v>61</x:v>
      </x:c>
      <x:c r="N90" s="1" t="s">
        <x:v>107</x:v>
      </x:c>
    </x:row>
    <x:row r="91" ht="90" customHeight="1">
      <x:c r="A91" t="s">
        <x:v>328</x:v>
      </x:c>
      <x:c r="B91" s="1" t="s">
        <x:v>329</x:v>
      </x:c>
      <x:c r="C91" s="1" t="s">
        <x:v>74</x:v>
      </x:c>
      <x:c r="D91" s="1" t="s">
        <x:v>75</x:v>
      </x:c>
      <x:c r="E91" s="1" t="s">
        <x:v>330</x:v>
      </x:c>
      <x:c r="F91" s="1" t="s">
        <x:v>27</x:v>
      </x:c>
      <x:c r="G91" s="1" t="s">
        <x:v>27</x:v>
      </x:c>
      <x:c r="H91" s="1" t="s">
        <x:v>27</x:v>
      </x:c>
      <x:c r="I91" s="1" t="s">
        <x:v>27</x:v>
      </x:c>
      <x:c r="J91" s="1" t="s">
        <x:v>27</x:v>
      </x:c>
      <x:c r="K91" s="1" t="s">
        <x:v>27</x:v>
      </x:c>
      <x:c r="L91" s="1" t="str">
        <x:f t="shared" si="1"/>
        <x:v>Yes</x:v>
      </x:c>
      <x:c r="N91" s="1" t="s">
        <x:v>28</x:v>
      </x:c>
    </x:row>
    <x:row r="92" ht="90" customHeight="1">
      <x:c r="A92" t="s">
        <x:v>331</x:v>
      </x:c>
      <x:c r="B92" s="1" t="s">
        <x:v>332</x:v>
      </x:c>
      <x:c r="C92" s="1" t="s">
        <x:v>74</x:v>
      </x:c>
      <x:c r="D92" s="1" t="s">
        <x:v>75</x:v>
      </x:c>
      <x:c r="E92" s="1" t="s">
        <x:v>333</x:v>
      </x:c>
      <x:c r="F92" s="1" t="s">
        <x:v>27</x:v>
      </x:c>
      <x:c r="G92" s="1" t="s">
        <x:v>27</x:v>
      </x:c>
      <x:c r="H92" s="1" t="s">
        <x:v>27</x:v>
      </x:c>
      <x:c r="I92" s="1" t="s">
        <x:v>27</x:v>
      </x:c>
      <x:c r="J92" s="1" t="s">
        <x:v>27</x:v>
      </x:c>
      <x:c r="K92" s="1" t="s">
        <x:v>27</x:v>
      </x:c>
      <x:c r="L92" s="1" t="str">
        <x:f t="shared" si="1"/>
        <x:v>Yes</x:v>
      </x:c>
      <x:c r="N92" s="1" t="s">
        <x:v>28</x:v>
      </x:c>
    </x:row>
    <x:row r="93" ht="90" customHeight="1">
      <x:c r="A93" t="s">
        <x:v>334</x:v>
      </x:c>
      <x:c r="B93" s="1" t="s">
        <x:v>335</x:v>
      </x:c>
      <x:c r="C93" s="1" t="s">
        <x:v>74</x:v>
      </x:c>
      <x:c r="D93" s="1" t="s">
        <x:v>75</x:v>
      </x:c>
      <x:c r="E93" s="1" t="s">
        <x:v>336</x:v>
      </x:c>
      <x:c r="F93" s="1" t="s">
        <x:v>27</x:v>
      </x:c>
      <x:c r="G93" s="1" t="s">
        <x:v>27</x:v>
      </x:c>
      <x:c r="H93" s="1" t="s">
        <x:v>27</x:v>
      </x:c>
      <x:c r="I93" s="1" t="s">
        <x:v>27</x:v>
      </x:c>
      <x:c r="J93" s="1" t="s">
        <x:v>27</x:v>
      </x:c>
      <x:c r="K93" s="1" t="s">
        <x:v>27</x:v>
      </x:c>
      <x:c r="L93" s="1" t="str">
        <x:f t="shared" si="1"/>
        <x:v>Yes</x:v>
      </x:c>
      <x:c r="N93" s="1" t="s">
        <x:v>28</x:v>
      </x:c>
    </x:row>
    <x:row r="94" ht="90" customHeight="1">
      <x:c r="A94" t="s">
        <x:v>337</x:v>
      </x:c>
      <x:c r="B94" s="1" t="s">
        <x:v>338</x:v>
      </x:c>
      <x:c r="C94" s="1" t="s">
        <x:v>31</x:v>
      </x:c>
      <x:c r="D94" s="1" t="s">
        <x:v>32</x:v>
      </x:c>
      <x:c r="E94" s="1" t="s">
        <x:v>339</x:v>
      </x:c>
      <x:c r="F94" s="1" t="s">
        <x:v>19</x:v>
      </x:c>
      <x:c r="G94" s="1" t="s">
        <x:v>19</x:v>
      </x:c>
      <x:c r="H94" s="1" t="s">
        <x:v>19</x:v>
      </x:c>
      <x:c r="I94" s="1" t="s">
        <x:v>19</x:v>
      </x:c>
      <x:c r="J94" s="1" t="s">
        <x:v>19</x:v>
      </x:c>
      <x:c r="K94" s="1" t="s">
        <x:v>19</x:v>
      </x:c>
      <x:c r="L94" s="1" t="str">
        <x:f t="shared" si="1"/>
        <x:v>No</x:v>
      </x:c>
      <x:c r="M94" s="1" t="s">
        <x:v>20</x:v>
      </x:c>
      <x:c r="N94" s="1" t="s">
        <x:v>21</x:v>
      </x:c>
    </x:row>
    <x:row r="95" ht="90" customHeight="1">
      <x:c r="A95" t="s">
        <x:v>340</x:v>
      </x:c>
      <x:c r="B95" s="1" t="s">
        <x:v>341</x:v>
      </x:c>
      <x:c r="C95" s="1" t="s">
        <x:v>74</x:v>
      </x:c>
      <x:c r="D95" s="1" t="s">
        <x:v>75</x:v>
      </x:c>
      <x:c r="E95" s="1" t="s">
        <x:v>342</x:v>
      </x:c>
      <x:c r="F95" s="1" t="s">
        <x:v>27</x:v>
      </x:c>
      <x:c r="G95" s="1" t="s">
        <x:v>27</x:v>
      </x:c>
      <x:c r="H95" s="1" t="s">
        <x:v>27</x:v>
      </x:c>
      <x:c r="I95" s="1" t="s">
        <x:v>27</x:v>
      </x:c>
      <x:c r="J95" s="1" t="s">
        <x:v>27</x:v>
      </x:c>
      <x:c r="K95" s="1" t="s">
        <x:v>27</x:v>
      </x:c>
      <x:c r="L95" s="1" t="str">
        <x:f t="shared" si="1"/>
        <x:v>Yes</x:v>
      </x:c>
      <x:c r="N95" s="1" t="s">
        <x:v>28</x:v>
      </x:c>
    </x:row>
    <x:row r="96" ht="90" customHeight="1">
      <x:c r="A96" t="s">
        <x:v>343</x:v>
      </x:c>
      <x:c r="B96" s="1" t="s">
        <x:v>344</x:v>
      </x:c>
      <x:c r="C96" s="1" t="s">
        <x:v>65</x:v>
      </x:c>
      <x:c r="D96" s="1" t="s">
        <x:v>66</x:v>
      </x:c>
      <x:c r="E96" s="1" t="s">
        <x:v>345</x:v>
      </x:c>
      <x:c r="F96" s="1" t="s">
        <x:v>27</x:v>
      </x:c>
      <x:c r="G96" s="1" t="s">
        <x:v>27</x:v>
      </x:c>
      <x:c r="H96" s="1" t="s">
        <x:v>27</x:v>
      </x:c>
      <x:c r="I96" s="1" t="s">
        <x:v>27</x:v>
      </x:c>
      <x:c r="J96" s="1" t="s">
        <x:v>27</x:v>
      </x:c>
      <x:c r="K96" s="1" t="s">
        <x:v>27</x:v>
      </x:c>
      <x:c r="L96" s="1" t="str">
        <x:f t="shared" si="1"/>
        <x:v>Yes</x:v>
      </x:c>
      <x:c r="N96" s="1" t="s">
        <x:v>28</x:v>
      </x:c>
    </x:row>
    <x:row r="97" ht="90" customHeight="1">
      <x:c r="A97" t="s">
        <x:v>346</x:v>
      </x:c>
      <x:c r="B97" s="1" t="s">
        <x:v>347</x:v>
      </x:c>
      <x:c r="C97" s="1" t="s">
        <x:v>65</x:v>
      </x:c>
      <x:c r="D97" s="1" t="s">
        <x:v>66</x:v>
      </x:c>
      <x:c r="E97" s="1" t="s">
        <x:v>348</x:v>
      </x:c>
      <x:c r="F97" s="1" t="s">
        <x:v>27</x:v>
      </x:c>
      <x:c r="G97" s="1" t="s">
        <x:v>27</x:v>
      </x:c>
      <x:c r="H97" s="1" t="s">
        <x:v>27</x:v>
      </x:c>
      <x:c r="I97" s="1" t="s">
        <x:v>27</x:v>
      </x:c>
      <x:c r="J97" s="1" t="s">
        <x:v>27</x:v>
      </x:c>
      <x:c r="K97" s="1" t="s">
        <x:v>53</x:v>
      </x:c>
      <x:c r="L97" s="1" t="str">
        <x:f t="shared" si="1"/>
        <x:v>Borderline</x:v>
      </x:c>
      <x:c r="M97" s="1" t="s">
        <x:v>54</x:v>
      </x:c>
      <x:c r="N97" s="1" t="s">
        <x:v>349</x:v>
      </x:c>
    </x:row>
    <x:row r="98" ht="90" customHeight="1">
      <x:c r="A98" t="s">
        <x:v>350</x:v>
      </x:c>
      <x:c r="B98" s="1" t="s">
        <x:v>351</x:v>
      </x:c>
      <x:c r="C98" s="1" t="s">
        <x:v>31</x:v>
      </x:c>
      <x:c r="D98" s="1" t="s">
        <x:v>161</x:v>
      </x:c>
      <x:c r="E98" s="1" t="s">
        <x:v>352</x:v>
      </x:c>
      <x:c r="F98" s="1" t="s">
        <x:v>27</x:v>
      </x:c>
      <x:c r="G98" s="1" t="s">
        <x:v>27</x:v>
      </x:c>
      <x:c r="H98" s="1" t="s">
        <x:v>27</x:v>
      </x:c>
      <x:c r="I98" s="1" t="s">
        <x:v>27</x:v>
      </x:c>
      <x:c r="J98" s="1" t="s">
        <x:v>27</x:v>
      </x:c>
      <x:c r="K98" s="1" t="s">
        <x:v>27</x:v>
      </x:c>
      <x:c r="L98" s="1" t="str">
        <x:f t="shared" si="1"/>
        <x:v>Yes</x:v>
      </x:c>
      <x:c r="N98" s="1" t="s">
        <x:v>28</x:v>
      </x:c>
    </x:row>
    <x:row r="99" ht="90" customHeight="1">
      <x:c r="A99" t="s">
        <x:v>353</x:v>
      </x:c>
      <x:c r="B99" s="1" t="s">
        <x:v>354</x:v>
      </x:c>
      <x:c r="C99" s="1" t="s">
        <x:v>58</x:v>
      </x:c>
      <x:c r="D99" s="1" t="s">
        <x:v>59</x:v>
      </x:c>
      <x:c r="E99" s="1" t="s">
        <x:v>355</x:v>
      </x:c>
      <x:c r="F99" s="1" t="s">
        <x:v>27</x:v>
      </x:c>
      <x:c r="G99" s="1" t="s">
        <x:v>19</x:v>
      </x:c>
      <x:c r="H99" s="1" t="s">
        <x:v>19</x:v>
      </x:c>
      <x:c r="I99" s="1" t="s">
        <x:v>19</x:v>
      </x:c>
      <x:c r="J99" s="1" t="s">
        <x:v>27</x:v>
      </x:c>
      <x:c r="K99" s="1" t="s">
        <x:v>19</x:v>
      </x:c>
      <x:c r="L99" s="1" t="str">
        <x:f t="shared" si="1"/>
        <x:v>No</x:v>
      </x:c>
      <x:c r="M99" s="1" t="s">
        <x:v>290</x:v>
      </x:c>
      <x:c r="N99" s="1" t="s">
        <x:v>291</x:v>
      </x:c>
    </x:row>
    <x:row r="100" ht="90" customHeight="1">
      <x:c r="A100" t="s">
        <x:v>356</x:v>
      </x:c>
      <x:c r="B100" s="1" t="s">
        <x:v>357</x:v>
      </x:c>
      <x:c r="C100" s="1" t="s">
        <x:v>58</x:v>
      </x:c>
      <x:c r="D100" s="1" t="s">
        <x:v>100</x:v>
      </x:c>
      <x:c r="E100" s="1" t="s">
        <x:v>358</x:v>
      </x:c>
      <x:c r="F100" s="1" t="s">
        <x:v>19</x:v>
      </x:c>
      <x:c r="G100" s="1" t="s">
        <x:v>53</x:v>
      </x:c>
      <x:c r="H100" s="1" t="s">
        <x:v>27</x:v>
      </x:c>
      <x:c r="I100" s="1" t="s">
        <x:v>27</x:v>
      </x:c>
      <x:c r="J100" s="1" t="s">
        <x:v>19</x:v>
      </x:c>
      <x:c r="K100" s="1" t="s">
        <x:v>53</x:v>
      </x:c>
      <x:c r="L100" s="1" t="str">
        <x:f t="shared" si="1"/>
        <x:v>No</x:v>
      </x:c>
      <x:c r="M100" s="1" t="s">
        <x:v>102</x:v>
      </x:c>
      <x:c r="N100" s="1" t="s">
        <x:v>280</x:v>
      </x:c>
    </x:row>
    <x:row r="101" ht="90" customHeight="1">
      <x:c r="A101" t="s">
        <x:v>359</x:v>
      </x:c>
      <x:c r="B101" s="1" t="s">
        <x:v>360</x:v>
      </x:c>
      <x:c r="C101" s="1" t="s">
        <x:v>58</x:v>
      </x:c>
      <x:c r="D101" s="1" t="s">
        <x:v>59</x:v>
      </x:c>
      <x:c r="E101" s="1" t="s">
        <x:v>361</x:v>
      </x:c>
      <x:c r="F101" s="1" t="s">
        <x:v>27</x:v>
      </x:c>
      <x:c r="G101" s="1" t="s">
        <x:v>53</x:v>
      </x:c>
      <x:c r="H101" s="1" t="s">
        <x:v>27</x:v>
      </x:c>
      <x:c r="I101" s="1" t="s">
        <x:v>27</x:v>
      </x:c>
      <x:c r="J101" s="1" t="s">
        <x:v>27</x:v>
      </x:c>
      <x:c r="K101" s="1" t="s">
        <x:v>53</x:v>
      </x:c>
      <x:c r="L101" s="1" t="str">
        <x:f t="shared" si="1"/>
        <x:v>Borderline</x:v>
      </x:c>
      <x:c r="M101" s="1" t="s">
        <x:v>61</x:v>
      </x:c>
      <x:c r="N101" s="1" t="s">
        <x:v>107</x:v>
      </x:c>
    </x:row>
    <x:row r="102" ht="90" customHeight="1">
      <x:c r="A102" t="s">
        <x:v>362</x:v>
      </x:c>
      <x:c r="B102" s="1" t="s">
        <x:v>363</x:v>
      </x:c>
      <x:c r="C102" s="1" t="s">
        <x:v>58</x:v>
      </x:c>
      <x:c r="D102" s="1" t="s">
        <x:v>100</x:v>
      </x:c>
      <x:c r="E102" s="1" t="s">
        <x:v>364</x:v>
      </x:c>
      <x:c r="F102" s="1" t="s">
        <x:v>19</x:v>
      </x:c>
      <x:c r="G102" s="1" t="s">
        <x:v>19</x:v>
      </x:c>
      <x:c r="H102" s="1" t="s">
        <x:v>19</x:v>
      </x:c>
      <x:c r="I102" s="1" t="s">
        <x:v>19</x:v>
      </x:c>
      <x:c r="J102" s="1" t="s">
        <x:v>19</x:v>
      </x:c>
      <x:c r="K102" s="1" t="s">
        <x:v>19</x:v>
      </x:c>
      <x:c r="L102" s="1" t="str">
        <x:f t="shared" si="1"/>
        <x:v>No</x:v>
      </x:c>
      <x:c r="M102" s="1" t="s">
        <x:v>20</x:v>
      </x:c>
      <x:c r="N102" s="1" t="s">
        <x:v>365</x:v>
      </x:c>
    </x:row>
    <x:row r="103" ht="90" customHeight="1">
      <x:c r="A103" t="s">
        <x:v>366</x:v>
      </x:c>
      <x:c r="B103" s="1" t="s">
        <x:v>367</x:v>
      </x:c>
      <x:c r="C103" s="1" t="s">
        <x:v>31</x:v>
      </x:c>
      <x:c r="D103" s="1" t="s">
        <x:v>32</x:v>
      </x:c>
      <x:c r="E103" s="1" t="s">
        <x:v>368</x:v>
      </x:c>
      <x:c r="F103" s="1" t="s">
        <x:v>19</x:v>
      </x:c>
      <x:c r="G103" s="1" t="s">
        <x:v>19</x:v>
      </x:c>
      <x:c r="H103" s="1" t="s">
        <x:v>19</x:v>
      </x:c>
      <x:c r="I103" s="1" t="s">
        <x:v>19</x:v>
      </x:c>
      <x:c r="J103" s="1" t="s">
        <x:v>19</x:v>
      </x:c>
      <x:c r="K103" s="1" t="s">
        <x:v>19</x:v>
      </x:c>
      <x:c r="L103" s="1" t="str">
        <x:f t="shared" si="1"/>
        <x:v>No</x:v>
      </x:c>
      <x:c r="M103" s="1" t="s">
        <x:v>20</x:v>
      </x:c>
      <x:c r="N103" s="1" t="s">
        <x:v>369</x:v>
      </x:c>
    </x:row>
    <x:row r="104" ht="90" customHeight="1">
      <x:c r="A104" t="s">
        <x:v>370</x:v>
      </x:c>
      <x:c r="B104" s="1" t="s">
        <x:v>209</x:v>
      </x:c>
      <x:c r="C104" s="1" t="s">
        <x:v>181</x:v>
      </x:c>
      <x:c r="D104" s="1" t="s">
        <x:v>121</x:v>
      </x:c>
      <x:c r="E104" s="1" t="s">
        <x:v>210</x:v>
      </x:c>
      <x:c r="F104" s="1" t="s">
        <x:v>27</x:v>
      </x:c>
      <x:c r="G104" s="1" t="s">
        <x:v>27</x:v>
      </x:c>
      <x:c r="H104" s="1" t="s">
        <x:v>27</x:v>
      </x:c>
      <x:c r="I104" s="1" t="s">
        <x:v>27</x:v>
      </x:c>
      <x:c r="J104" s="1" t="s">
        <x:v>27</x:v>
      </x:c>
      <x:c r="K104" s="1" t="s">
        <x:v>53</x:v>
      </x:c>
      <x:c r="L104" s="1" t="str">
        <x:f t="shared" si="1"/>
        <x:v>Borderline</x:v>
      </x:c>
      <x:c r="M104" s="1" t="s">
        <x:v>54</x:v>
      </x:c>
      <x:c r="N104" s="1" t="s">
        <x:v>55</x:v>
      </x:c>
    </x:row>
    <x:row r="105" ht="90" customHeight="1">
      <x:c r="A105" t="s">
        <x:v>371</x:v>
      </x:c>
      <x:c r="B105" s="1" t="s">
        <x:v>372</x:v>
      </x:c>
      <x:c r="C105" s="1" t="s">
        <x:v>50</x:v>
      </x:c>
      <x:c r="D105" s="1" t="s">
        <x:v>51</x:v>
      </x:c>
      <x:c r="E105" s="1" t="s">
        <x:v>373</x:v>
      </x:c>
      <x:c r="F105" s="1" t="s">
        <x:v>27</x:v>
      </x:c>
      <x:c r="G105" s="1" t="s">
        <x:v>27</x:v>
      </x:c>
      <x:c r="H105" s="1" t="s">
        <x:v>27</x:v>
      </x:c>
      <x:c r="I105" s="1" t="s">
        <x:v>27</x:v>
      </x:c>
      <x:c r="J105" s="1" t="s">
        <x:v>27</x:v>
      </x:c>
      <x:c r="K105" s="1" t="s">
        <x:v>53</x:v>
      </x:c>
      <x:c r="L105" s="1" t="str">
        <x:f t="shared" si="1"/>
        <x:v>Borderline</x:v>
      </x:c>
      <x:c r="M105" s="1" t="s">
        <x:v>54</x:v>
      </x:c>
      <x:c r="N105" s="1" t="s">
        <x:v>55</x:v>
      </x:c>
    </x:row>
    <x:row r="106" ht="90" customHeight="1">
      <x:c r="A106" t="s">
        <x:v>374</x:v>
      </x:c>
      <x:c r="B106" s="1" t="s">
        <x:v>375</x:v>
      </x:c>
      <x:c r="C106" s="1" t="s">
        <x:v>31</x:v>
      </x:c>
      <x:c r="D106" s="1" t="s">
        <x:v>32</x:v>
      </x:c>
      <x:c r="E106" s="1" t="s">
        <x:v>376</x:v>
      </x:c>
      <x:c r="F106" s="1" t="s">
        <x:v>19</x:v>
      </x:c>
      <x:c r="G106" s="1" t="s">
        <x:v>19</x:v>
      </x:c>
      <x:c r="H106" s="1" t="s">
        <x:v>19</x:v>
      </x:c>
      <x:c r="I106" s="1" t="s">
        <x:v>19</x:v>
      </x:c>
      <x:c r="J106" s="1" t="s">
        <x:v>19</x:v>
      </x:c>
      <x:c r="K106" s="1" t="s">
        <x:v>19</x:v>
      </x:c>
      <x:c r="L106" s="1" t="str">
        <x:f t="shared" si="1"/>
        <x:v>No</x:v>
      </x:c>
      <x:c r="M106" s="1" t="s">
        <x:v>20</x:v>
      </x:c>
      <x:c r="N106" s="1" t="s">
        <x:v>377</x:v>
      </x:c>
    </x:row>
    <x:row r="107" ht="90" customHeight="1">
      <x:c r="A107" t="s">
        <x:v>378</x:v>
      </x:c>
      <x:c r="B107" s="1" t="s">
        <x:v>379</x:v>
      </x:c>
      <x:c r="C107" s="1" t="s">
        <x:v>31</x:v>
      </x:c>
      <x:c r="D107" s="1" t="s">
        <x:v>161</x:v>
      </x:c>
      <x:c r="E107" s="1" t="s">
        <x:v>380</x:v>
      </x:c>
      <x:c r="F107" s="1" t="s">
        <x:v>27</x:v>
      </x:c>
      <x:c r="G107" s="1" t="s">
        <x:v>27</x:v>
      </x:c>
      <x:c r="H107" s="1" t="s">
        <x:v>27</x:v>
      </x:c>
      <x:c r="I107" s="1" t="s">
        <x:v>27</x:v>
      </x:c>
      <x:c r="J107" s="1" t="s">
        <x:v>27</x:v>
      </x:c>
      <x:c r="K107" s="1" t="s">
        <x:v>27</x:v>
      </x:c>
      <x:c r="L107" s="1" t="str">
        <x:f t="shared" si="1"/>
        <x:v>Yes</x:v>
      </x:c>
      <x:c r="N107" s="1" t="s">
        <x:v>28</x:v>
      </x:c>
    </x:row>
    <x:row r="108" ht="90" customHeight="1">
      <x:c r="A108" t="s">
        <x:v>381</x:v>
      </x:c>
      <x:c r="B108" s="1" t="s">
        <x:v>382</x:v>
      </x:c>
      <x:c r="C108" s="1" t="s">
        <x:v>74</x:v>
      </x:c>
      <x:c r="D108" s="1" t="s">
        <x:v>75</x:v>
      </x:c>
      <x:c r="E108" s="1" t="s">
        <x:v>383</x:v>
      </x:c>
      <x:c r="F108" s="1" t="s">
        <x:v>27</x:v>
      </x:c>
      <x:c r="G108" s="1" t="s">
        <x:v>27</x:v>
      </x:c>
      <x:c r="H108" s="1" t="s">
        <x:v>27</x:v>
      </x:c>
      <x:c r="I108" s="1" t="s">
        <x:v>27</x:v>
      </x:c>
      <x:c r="J108" s="1" t="s">
        <x:v>27</x:v>
      </x:c>
      <x:c r="K108" s="1" t="s">
        <x:v>27</x:v>
      </x:c>
      <x:c r="L108" s="1" t="str">
        <x:f t="shared" si="1"/>
        <x:v>Yes</x:v>
      </x:c>
      <x:c r="N108" s="1" t="s">
        <x:v>28</x:v>
      </x:c>
    </x:row>
    <x:row r="109" ht="90" customHeight="1">
      <x:c r="A109" t="s">
        <x:v>384</x:v>
      </x:c>
      <x:c r="B109" s="1" t="s">
        <x:v>385</x:v>
      </x:c>
      <x:c r="C109" s="1" t="s">
        <x:v>58</x:v>
      </x:c>
      <x:c r="D109" s="1" t="s">
        <x:v>59</x:v>
      </x:c>
      <x:c r="E109" s="1" t="s">
        <x:v>386</x:v>
      </x:c>
      <x:c r="F109" s="1" t="s">
        <x:v>27</x:v>
      </x:c>
      <x:c r="G109" s="1" t="s">
        <x:v>53</x:v>
      </x:c>
      <x:c r="H109" s="1" t="s">
        <x:v>27</x:v>
      </x:c>
      <x:c r="I109" s="1" t="s">
        <x:v>27</x:v>
      </x:c>
      <x:c r="J109" s="1" t="s">
        <x:v>27</x:v>
      </x:c>
      <x:c r="K109" s="1" t="s">
        <x:v>53</x:v>
      </x:c>
      <x:c r="L109" s="1" t="str">
        <x:f t="shared" si="1"/>
        <x:v>Borderline</x:v>
      </x:c>
      <x:c r="M109" s="1" t="s">
        <x:v>61</x:v>
      </x:c>
      <x:c r="N109" s="1" t="s">
        <x:v>214</x:v>
      </x:c>
    </x:row>
    <x:row r="110" ht="90" customHeight="1">
      <x:c r="A110" t="s">
        <x:v>387</x:v>
      </x:c>
      <x:c r="B110" s="1" t="s">
        <x:v>388</x:v>
      </x:c>
      <x:c r="C110" s="1" t="s">
        <x:v>181</x:v>
      </x:c>
      <x:c r="D110" s="1" t="s">
        <x:v>121</x:v>
      </x:c>
      <x:c r="E110" s="1" t="s">
        <x:v>389</x:v>
      </x:c>
      <x:c r="F110" s="1" t="s">
        <x:v>27</x:v>
      </x:c>
      <x:c r="G110" s="1" t="s">
        <x:v>27</x:v>
      </x:c>
      <x:c r="H110" s="1" t="s">
        <x:v>27</x:v>
      </x:c>
      <x:c r="I110" s="1" t="s">
        <x:v>27</x:v>
      </x:c>
      <x:c r="J110" s="1" t="s">
        <x:v>27</x:v>
      </x:c>
      <x:c r="K110" s="1" t="s">
        <x:v>53</x:v>
      </x:c>
      <x:c r="L110" s="1" t="str">
        <x:f t="shared" si="1"/>
        <x:v>Borderline</x:v>
      </x:c>
      <x:c r="M110" s="1" t="s">
        <x:v>54</x:v>
      </x:c>
      <x:c r="N110" s="1" t="s">
        <x:v>55</x:v>
      </x:c>
    </x:row>
    <x:row r="111" ht="90" customHeight="1">
      <x:c r="A111" t="s">
        <x:v>390</x:v>
      </x:c>
      <x:c r="B111" s="1" t="s">
        <x:v>391</x:v>
      </x:c>
      <x:c r="C111" s="1" t="s">
        <x:v>31</x:v>
      </x:c>
      <x:c r="D111" s="1" t="s">
        <x:v>32</x:v>
      </x:c>
      <x:c r="E111" s="1" t="s">
        <x:v>392</x:v>
      </x:c>
      <x:c r="F111" s="1" t="s">
        <x:v>19</x:v>
      </x:c>
      <x:c r="G111" s="1" t="s">
        <x:v>19</x:v>
      </x:c>
      <x:c r="H111" s="1" t="s">
        <x:v>19</x:v>
      </x:c>
      <x:c r="I111" s="1" t="s">
        <x:v>19</x:v>
      </x:c>
      <x:c r="J111" s="1" t="s">
        <x:v>19</x:v>
      </x:c>
      <x:c r="K111" s="1" t="s">
        <x:v>19</x:v>
      </x:c>
      <x:c r="L111" s="1" t="str">
        <x:f t="shared" si="1"/>
        <x:v>No</x:v>
      </x:c>
      <x:c r="M111" s="1" t="s">
        <x:v>20</x:v>
      </x:c>
      <x:c r="N111" s="1" t="s">
        <x:v>80</x:v>
      </x:c>
    </x:row>
    <x:row r="112" ht="90" customHeight="1">
      <x:c r="A112" t="s">
        <x:v>393</x:v>
      </x:c>
      <x:c r="B112" s="1" t="s">
        <x:v>388</x:v>
      </x:c>
      <x:c r="C112" s="1" t="s">
        <x:v>24</x:v>
      </x:c>
      <x:c r="D112" s="1" t="s">
        <x:v>121</x:v>
      </x:c>
      <x:c r="E112" s="1" t="s">
        <x:v>389</x:v>
      </x:c>
      <x:c r="F112" s="1" t="s">
        <x:v>19</x:v>
      </x:c>
      <x:c r="G112" s="1" t="s">
        <x:v>27</x:v>
      </x:c>
      <x:c r="H112" s="1" t="s">
        <x:v>27</x:v>
      </x:c>
      <x:c r="I112" s="1" t="s">
        <x:v>27</x:v>
      </x:c>
      <x:c r="J112" s="1" t="s">
        <x:v>19</x:v>
      </x:c>
      <x:c r="K112" s="1" t="s">
        <x:v>53</x:v>
      </x:c>
      <x:c r="L112" s="1" t="str">
        <x:f t="shared" si="1"/>
        <x:v>No</x:v>
      </x:c>
      <x:c r="M112" s="1" t="s">
        <x:v>123</x:v>
      </x:c>
      <x:c r="N112" s="1" t="s">
        <x:v>124</x:v>
      </x:c>
    </x:row>
    <x:row r="113" ht="90" customHeight="1">
      <x:c r="A113" t="s">
        <x:v>394</x:v>
      </x:c>
      <x:c r="B113" s="1" t="s">
        <x:v>395</x:v>
      </x:c>
      <x:c r="C113" s="1" t="s">
        <x:v>16</x:v>
      </x:c>
      <x:c r="D113" s="1" t="s">
        <x:v>17</x:v>
      </x:c>
      <x:c r="E113" s="1" t="s">
        <x:v>396</x:v>
      </x:c>
      <x:c r="F113" s="1" t="s">
        <x:v>19</x:v>
      </x:c>
      <x:c r="G113" s="1" t="s">
        <x:v>19</x:v>
      </x:c>
      <x:c r="H113" s="1" t="s">
        <x:v>19</x:v>
      </x:c>
      <x:c r="I113" s="1" t="s">
        <x:v>19</x:v>
      </x:c>
      <x:c r="J113" s="1" t="s">
        <x:v>19</x:v>
      </x:c>
      <x:c r="K113" s="1" t="s">
        <x:v>19</x:v>
      </x:c>
      <x:c r="L113" s="1" t="str">
        <x:f t="shared" si="1"/>
        <x:v>No</x:v>
      </x:c>
      <x:c r="M113" s="1" t="s">
        <x:v>20</x:v>
      </x:c>
      <x:c r="N113" s="1" t="s">
        <x:v>90</x:v>
      </x:c>
    </x:row>
    <x:row r="114" ht="90" customHeight="1">
      <x:c r="A114" t="s">
        <x:v>397</x:v>
      </x:c>
      <x:c r="B114" s="1" t="s">
        <x:v>398</x:v>
      </x:c>
      <x:c r="C114" s="1" t="s">
        <x:v>65</x:v>
      </x:c>
      <x:c r="D114" s="1" t="s">
        <x:v>66</x:v>
      </x:c>
      <x:c r="E114" s="1" t="s">
        <x:v>399</x:v>
      </x:c>
      <x:c r="F114" s="1" t="s">
        <x:v>27</x:v>
      </x:c>
      <x:c r="G114" s="1" t="s">
        <x:v>53</x:v>
      </x:c>
      <x:c r="H114" s="1" t="s">
        <x:v>27</x:v>
      </x:c>
      <x:c r="I114" s="1" t="s">
        <x:v>27</x:v>
      </x:c>
      <x:c r="J114" s="1" t="s">
        <x:v>27</x:v>
      </x:c>
      <x:c r="K114" s="1" t="s">
        <x:v>53</x:v>
      </x:c>
      <x:c r="L114" s="1" t="str">
        <x:f t="shared" si="1"/>
        <x:v>Borderline</x:v>
      </x:c>
      <x:c r="M114" s="1" t="s">
        <x:v>61</x:v>
      </x:c>
      <x:c r="N114" s="1" t="s">
        <x:v>400</x:v>
      </x:c>
    </x:row>
    <x:row r="115" ht="90" customHeight="1">
      <x:c r="A115" t="s">
        <x:v>401</x:v>
      </x:c>
      <x:c r="B115" s="1" t="s">
        <x:v>402</x:v>
      </x:c>
      <x:c r="C115" s="1" t="s">
        <x:v>16</x:v>
      </x:c>
      <x:c r="D115" s="1" t="s">
        <x:v>17</x:v>
      </x:c>
      <x:c r="E115" s="1" t="s">
        <x:v>403</x:v>
      </x:c>
      <x:c r="F115" s="1" t="s">
        <x:v>19</x:v>
      </x:c>
      <x:c r="G115" s="1" t="s">
        <x:v>19</x:v>
      </x:c>
      <x:c r="H115" s="1" t="s">
        <x:v>19</x:v>
      </x:c>
      <x:c r="I115" s="1" t="s">
        <x:v>19</x:v>
      </x:c>
      <x:c r="J115" s="1" t="s">
        <x:v>19</x:v>
      </x:c>
      <x:c r="K115" s="1" t="s">
        <x:v>19</x:v>
      </x:c>
      <x:c r="L115" s="1" t="str">
        <x:f t="shared" si="1"/>
        <x:v>No</x:v>
      </x:c>
      <x:c r="M115" s="1" t="s">
        <x:v>20</x:v>
      </x:c>
      <x:c r="N115" s="1" t="s">
        <x:v>34</x:v>
      </x:c>
    </x:row>
    <x:row r="116" ht="90" customHeight="1">
      <x:c r="A116" t="s">
        <x:v>404</x:v>
      </x:c>
      <x:c r="B116" s="1" t="s">
        <x:v>405</x:v>
      </x:c>
      <x:c r="C116" s="1" t="s">
        <x:v>65</x:v>
      </x:c>
      <x:c r="D116" s="1" t="s">
        <x:v>66</x:v>
      </x:c>
      <x:c r="E116" s="1" t="s">
        <x:v>406</x:v>
      </x:c>
      <x:c r="F116" s="1" t="s">
        <x:v>27</x:v>
      </x:c>
      <x:c r="G116" s="1" t="s">
        <x:v>27</x:v>
      </x:c>
      <x:c r="H116" s="1" t="s">
        <x:v>27</x:v>
      </x:c>
      <x:c r="I116" s="1" t="s">
        <x:v>27</x:v>
      </x:c>
      <x:c r="J116" s="1" t="s">
        <x:v>27</x:v>
      </x:c>
      <x:c r="K116" s="1" t="s">
        <x:v>27</x:v>
      </x:c>
      <x:c r="L116" s="1" t="str">
        <x:f t="shared" si="1"/>
        <x:v>Yes</x:v>
      </x:c>
      <x:c r="N116" s="1" t="s">
        <x:v>28</x:v>
      </x:c>
    </x:row>
  </x:sheetData>
  <x:conditionalFormatting sqref="F2:L116">
    <x:cfRule type="containsText" dxfId="3" priority="1" operator="containsText" text="Yes"/>
    <x:cfRule type="containsText" dxfId="2" priority="2" operator="containsText" text="No"/>
    <x:cfRule type="containsText" dxfId="1" priority="3" operator="containsText" text="Borderline"/>
    <x:cfRule type="containsText" dxfId="0" priority="4" operator="containsText" text="Uncertain"/>
  </x:conditionalFormatting>
  <x:dataValidations count="2">
    <x:dataValidation type="list" allowBlank="1" showInputMessage="1" showErrorMessage="1" errorTitle="Invalid rating" promptTitle="Required rating" sqref="F2:L116">
      <x:formula1>"Yes,No,Borderline,Uncertain"</x:formula1>
    </x:dataValidation>
    <x:dataValidation type="list" sqref="F2:K116">
      <x:formula1>"Yes,No,Borderline,Uncertain"</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5.7109375" customWidth="1"/>
    <x:col min="2" max="2" width="120.7109375" style="1" customWidth="1"/>
  </x:cols>
  <x:sheetData>
    <x:row r="1">
      <x:c r="A1" s="2" t="s">
        <x:v>407</x:v>
      </x:c>
      <x:c r="B1" s="2" t="s">
        <x:v>408</x:v>
      </x:c>
    </x:row>
    <x:row r="2">
      <x:c r="A2" t="s">
        <x:v>5</x:v>
      </x:c>
      <x:c r="B2" s="1" t="s">
        <x:v>409</x:v>
      </x:c>
    </x:row>
    <x:row r="3">
      <x:c r="A3" t="s">
        <x:v>6</x:v>
      </x:c>
      <x:c r="B3" s="1" t="s">
        <x:v>410</x:v>
      </x:c>
    </x:row>
    <x:row r="4">
      <x:c r="A4" t="s">
        <x:v>7</x:v>
      </x:c>
      <x:c r="B4" s="1" t="s">
        <x:v>411</x:v>
      </x:c>
    </x:row>
    <x:row r="5">
      <x:c r="A5" t="s">
        <x:v>8</x:v>
      </x:c>
      <x:c r="B5" s="1" t="s">
        <x:v>412</x:v>
      </x:c>
    </x:row>
    <x:row r="6">
      <x:c r="A6" t="s">
        <x:v>9</x:v>
      </x:c>
      <x:c r="B6" s="1" t="s">
        <x:v>413</x:v>
      </x:c>
    </x:row>
    <x:row r="7">
      <x:c r="A7" t="s">
        <x:v>10</x:v>
      </x:c>
      <x:c r="B7" s="1" t="s">
        <x:v>414</x:v>
      </x:c>
    </x:row>
    <x:row r="8">
      <x:c r="A8" t="s">
        <x:v>11</x:v>
      </x:c>
      <x:c r="B8" s="1" t="s">
        <x:v>415</x:v>
      </x:c>
    </x:row>
    <x:row r="9">
      <x:c r="A9" t="s">
        <x:v>12</x:v>
      </x:c>
      <x:c r="B9" s="1" t="s">
        <x:v>416</x:v>
      </x:c>
    </x:row>
    <x:row r="10">
      <x:c r="A10" t="s">
        <x:v>13</x:v>
      </x:c>
      <x:c r="B10" s="1" t="s">
        <x:v>417</x:v>
      </x:c>
    </x:row>
  </x:sheetData>
  <x:pageMargins left="0.7" right="0.7" top="0.75" bottom="0.75" header="0.3" footer="0.3"/>
</x:worksheet>
</file>